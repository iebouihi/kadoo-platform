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01 - Introduction" sheetId="1" state="visible" r:id="rId3"/>
    <sheet name="02 - Métier" sheetId="2" state="visible" r:id="rId4"/>
    <sheet name="03 - Backlog" sheetId="3" state="visible" r:id="rId5"/>
    <sheet name="04 - Cycles de vie" sheetId="4" state="visible" r:id="rId6"/>
    <sheet name="05 - Modèle de données" sheetId="5" state="visible" r:id="rId7"/>
    <sheet name="06 - Décisions" sheetId="6" state="visible" r:id="rId8"/>
    <sheet name="07 - NFR" sheetId="7" state="visible" r:id="rId9"/>
    <sheet name="08 - Journal de revue" sheetId="8" state="visible" r:id="rId10"/>
    <sheet name="09 - SDLC assisté IA" sheetId="9" state="visible" r:id="rId11"/>
  </sheets>
  <definedNames>
    <definedName function="false" hidden="false" localSheetId="2" name="_xlnm.Print_Titles" vbProcedure="false">'03 - Backlog'!$5:$5</definedName>
    <definedName function="false" hidden="true" localSheetId="2" name="_xlnm._FilterDatabase" vbProcedure="false">'03 - Backlog'!$A$5:$Q$65</definedName>
    <definedName function="false" hidden="false" localSheetId="3" name="_xlnm.Print_Titles" vbProcedure="false">'04 - Cycles de vie'!$5:$5</definedName>
    <definedName function="false" hidden="true" localSheetId="3" name="_xlnm._FilterDatabase" vbProcedure="false">'04 - Cycles de vie'!$A$5:$F$48</definedName>
    <definedName function="false" hidden="false" localSheetId="4" name="_xlnm.Print_Titles" vbProcedure="false">'05 - Modèle de données'!$5:$5</definedName>
    <definedName function="false" hidden="true" localSheetId="4" name="_xlnm._FilterDatabase" vbProcedure="false">'05 - Modèle de données'!$A$5:$E$38</definedName>
    <definedName function="false" hidden="false" localSheetId="5" name="_xlnm.Print_Titles" vbProcedure="false">'06 - Décisions'!$5:$5</definedName>
    <definedName function="false" hidden="true" localSheetId="5" name="_xlnm._FilterDatabase" vbProcedure="false">'06 - Décisions'!$A$5:$K$20</definedName>
    <definedName function="false" hidden="false" localSheetId="6" name="_xlnm.Print_Titles" vbProcedure="false">'07 - NFR'!$15:$15</definedName>
    <definedName function="false" hidden="true" localSheetId="6" name="_xlnm._FilterDatabase" vbProcedure="false">'07 - NFR'!$A$15:$L$62</definedName>
    <definedName function="false" hidden="false" localSheetId="7" name="_xlnm.Print_Titles" vbProcedure="false">'08 - Journal de revue'!$5:$5</definedName>
    <definedName function="false" hidden="true" localSheetId="7" name="_xlnm._FilterDatabase" vbProcedure="false">'08 - Journal de revue'!$A$5:$F$36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<sst xmlns="http://schemas.openxmlformats.org/spreadsheetml/2006/main" count="2552" uniqueCount="1657">
  <si>
    <t xml:space="preserve">KOADOOO | Product Backlog MVP</t>
  </si>
  <si>
    <t xml:space="preserve">Plateforme marocaine de cartes cadeaux 100 % digitales · Version 1.2 · Revue BA, NFR et SDLC assisté IA du 16/10/2026</t>
  </si>
  <si>
    <t xml:space="preserve">FICHE PRODUIT</t>
  </si>
  <si>
    <t xml:space="preserve">Vision</t>
  </si>
  <si>
    <t xml:space="preserve">Marketplace B2B2C de cartes cadeaux digitales : les partenaires publient des offres, les acheteurs paient et offrent une carte, le bénéficiaire la présente au partenaire pour utilisation.</t>
  </si>
  <si>
    <t xml:space="preserve">Marché cible</t>
  </si>
  <si>
    <t xml:space="preserve">Maroc · devise MAD · interface français (fr-MA), arabe (ar-MA, RTL) et anglais (en).</t>
  </si>
  <si>
    <t xml:space="preserve">Modèle économique</t>
  </si>
  <si>
    <t xml:space="preserve">Commission contractuelle KOADOOO de 3 % à 10 % par transaction éligible. Assiette, fiscalité et flux d'encaissement : décisions D-01, D-02, D-11.</t>
  </si>
  <si>
    <t xml:space="preserve">Personas</t>
  </si>
  <si>
    <t xml:space="preserve">Admin KOADOOO · Gestionnaire partenaire · Acheteur · Bénéficiaire · Système (traitements automatiques).</t>
  </si>
  <si>
    <t xml:space="preserve">Critère de succès MVP</t>
  </si>
  <si>
    <t xml:space="preserve">Un partenaire crée et publie une carte, un acheteur l'achète et l'envoie, le bénéficiaire l'utilise chez le partenaire, et KOADOOO trace la transaction et sa commission de bout en bout.</t>
  </si>
  <si>
    <t xml:space="preserve">Hypothèses de départ</t>
  </si>
  <si>
    <t xml:space="preserve">Montants fixes, utilisation unique intégrale, une carte par commande, un partenaire par carte, reversement manuel tracé, paiement via PSP sur page hébergée, achat sans compte.</t>
  </si>
  <si>
    <t xml:space="preserve">Internationalisation</t>
  </si>
  <si>
    <t xml:space="preserve">Traductions métier séparées des données invariantes ; langue acheteur et bénéficiaire indépendantes ; fallback fr-MA ; contenus figés à l'émission.</t>
  </si>
  <si>
    <t xml:space="preserve">Statut du document</t>
  </si>
  <si>
    <t xml:space="preserve">Version 1.2 révisée — à valider en atelier. 15 décisions restent ouvertes (onglet 06) ; les hypothèses retenues dans les US sont signalées.</t>
  </si>
  <si>
    <t xml:space="preserve">SYNTHÈSE DE LA REVUE v1.1</t>
  </si>
  <si>
    <t xml:space="preserve">Périmètre</t>
  </si>
  <si>
    <t xml:space="preserve">60 user stories (46 d'origine réécrites + 14 nouvelles) réparties en 13 epics (nouvel EP13 Conformité). Les identifiants d'origine sont conservés pour la traçabilité.</t>
  </si>
  <si>
    <t xml:space="preserve">Rédaction</t>
  </si>
  <si>
    <t xml:space="preserve">Personas précisés, bénéfice métier propre à chaque US, règles de gestion numérotées, critères d'acceptation Étant donné / quand / alors avec exemples chiffrés.</t>
  </si>
  <si>
    <t xml:space="preserve">Priorisation</t>
  </si>
  <si>
    <t xml:space="preserve">Passage de 46 P0 à une priorisation P0 / P1 / P2 (voir comptage ci-dessous) ; lots résequencés pour lever les dépendances (audit, notifications et confirmation d'achat avancés).</t>
  </si>
  <si>
    <t xml:space="preserve">Couverture ajoutée</t>
  </si>
  <si>
    <t xml:space="preserve">Expiration des commandes, rapprochement PSP, remboursement, blocage de carte, anti-force brute, MFA Admin, renvoi de carte, liste des ventes partenaire, médias, CGV, loi 09-08.</t>
  </si>
  <si>
    <t xml:space="preserve">Nouveaux onglets</t>
  </si>
  <si>
    <t xml:space="preserve">04 Cycles de vie · 05 Modèle de données consolidé · 06 Décisions à valider (avec recommandation) · 07 NFR (architecture Next.js + Java) · 08 Journal de revue (31 constats) · 09 SDLC assisté par l'IA.</t>
  </si>
  <si>
    <t xml:space="preserve">PRIORITÉS ET COMPTAGE (calculé depuis l'onglet 03)</t>
  </si>
  <si>
    <t xml:space="preserve">P0</t>
  </si>
  <si>
    <t xml:space="preserve">P1</t>
  </si>
  <si>
    <t xml:space="preserve">P2</t>
  </si>
  <si>
    <t xml:space="preserve">Total</t>
  </si>
  <si>
    <t xml:space="preserve">LOTS</t>
  </si>
  <si>
    <t xml:space="preserve">Lot 1 · Socle</t>
  </si>
  <si>
    <t xml:space="preserve">Lot 2 · Offres et vitrine</t>
  </si>
  <si>
    <t xml:space="preserve">Lot 3 · Achat et paiement</t>
  </si>
  <si>
    <t xml:space="preserve">Lot 4 · Émission et utilisation</t>
  </si>
  <si>
    <t xml:space="preserve">Lot 5 · Pilotage et exploitation</t>
  </si>
  <si>
    <t xml:space="preserve">Lot 6 · Post-MVP</t>
  </si>
  <si>
    <t xml:space="preserve">DEFINITION OF READY (une US entre en sprint si…)</t>
  </si>
  <si>
    <t xml:space="preserve">Compréhension</t>
  </si>
  <si>
    <t xml:space="preserve">Persona, besoin et bénéfice clairs ; maquette disponible pour les US d'interface (fr + ar).</t>
  </si>
  <si>
    <t xml:space="preserve">Testabilité</t>
  </si>
  <si>
    <t xml:space="preserve">Critères d'acceptation Étant donné / quand / alors validés par le PO ; données de test identifiées.</t>
  </si>
  <si>
    <t xml:space="preserve">Décisions</t>
  </si>
  <si>
    <t xml:space="preserve">Les décisions liées (colonne Q) sont tranchées, ou l'hypothèse retenue est explicitement acceptée.</t>
  </si>
  <si>
    <t xml:space="preserve">Dépendances</t>
  </si>
  <si>
    <t xml:space="preserve">US dépendantes livrées ou bouchonnées ; estimation faite par l'équipe.</t>
  </si>
  <si>
    <t xml:space="preserve">DEFINITION OF DONE (une US est terminée si…)</t>
  </si>
  <si>
    <t xml:space="preserve">Fonctionnel</t>
  </si>
  <si>
    <t xml:space="preserve">Tous les critères d'acceptation passent en recette, y compris les cas d'erreur.</t>
  </si>
  <si>
    <t xml:space="preserve">Qualité</t>
  </si>
  <si>
    <t xml:space="preserve">Tests automatisés (unitaires + API), revue de code, aucun défaut bloquant ; tests d'isolation partenaire pour les écrans back-office.</t>
  </si>
  <si>
    <t xml:space="preserve">i18n</t>
  </si>
  <si>
    <t xml:space="preserve">Textes externalisés et disponibles en fr-MA, ar-MA, en ; écran vérifié en RTL.</t>
  </si>
  <si>
    <t xml:space="preserve">Traçabilité</t>
  </si>
  <si>
    <t xml:space="preserve">Événements AuditEvent émis ; aucun secret dans les logs ; identifiant de l'US dans les commits.</t>
  </si>
  <si>
    <t xml:space="preserve">Exigences</t>
  </si>
  <si>
    <t xml:space="preserve">Exigences non fonctionnelles applicables (onglet 07) respectées.</t>
  </si>
  <si>
    <t xml:space="preserve">LECTURE DU FICHIER</t>
  </si>
  <si>
    <t xml:space="preserve">01 - Introduction</t>
  </si>
  <si>
    <t xml:space="preserve">Vision, synthèse de la revue, priorités, lots, DoR / DoD.</t>
  </si>
  <si>
    <t xml:space="preserve">02 - Métier</t>
  </si>
  <si>
    <t xml:space="preserve">Parcours nominal, règles transverses, glossaire.</t>
  </si>
  <si>
    <t xml:space="preserve">03 - Backlog</t>
  </si>
  <si>
    <t xml:space="preserve">60 user stories en 13 epics : description, données, règles, critères d'acceptation, priorité, lot, estimation, dépendances, décisions, nature de la révision.</t>
  </si>
  <si>
    <t xml:space="preserve">04 - Cycles de vie</t>
  </si>
  <si>
    <t xml:space="preserve">Statuts et transitions de chaque entité.</t>
  </si>
  <si>
    <t xml:space="preserve">05 - Modèle de données</t>
  </si>
  <si>
    <t xml:space="preserve">Entités consolidées, relations, contraintes, écarts avec la v1.0.</t>
  </si>
  <si>
    <t xml:space="preserve">06 - Décisions</t>
  </si>
  <si>
    <t xml:space="preserve">Décisions à valider, options, recommandation BA (hypothèse du backlog).</t>
  </si>
  <si>
    <t xml:space="preserve">07 - NFR</t>
  </si>
  <si>
    <t xml:space="preserve">Architecture cible et exigences non fonctionnelles mesurables, avec mise en œuvre Next.js et Java et mode de vérification.</t>
  </si>
  <si>
    <t xml:space="preserve">08 - Journal de revue</t>
  </si>
  <si>
    <t xml:space="preserve">Constats de la revue de la v1.0 et corrections apportées.</t>
  </si>
  <si>
    <t xml:space="preserve">09 - SDLC assisté IA</t>
  </si>
  <si>
    <t xml:space="preserve">Principes, usage de l'IA par phase, flux par US, rôles, garde-fous, indicateurs, mise en place.</t>
  </si>
  <si>
    <t xml:space="preserve">KOADOOO | Description métier</t>
  </si>
  <si>
    <t xml:space="preserve">Parcours, règles transverses et glossaire · le modèle de données et les décisions sont dans les onglets 05 et 06</t>
  </si>
  <si>
    <t xml:space="preserve">PARCOURS MÉTIER NOMINAL</t>
  </si>
  <si>
    <t xml:space="preserve">Étape</t>
  </si>
  <si>
    <t xml:space="preserve">Description</t>
  </si>
  <si>
    <t xml:space="preserve">User stories</t>
  </si>
  <si>
    <t xml:space="preserve">1 · Administration</t>
  </si>
  <si>
    <t xml:space="preserve">L'Admin crée le partenaire (DRAFT), invite au moins un gestionnaire, définit le taux de commission, puis active le partenaire.</t>
  </si>
  <si>
    <t xml:space="preserve">US-002, US-004, US-005</t>
  </si>
  <si>
    <t xml:space="preserve">2 · Configuration</t>
  </si>
  <si>
    <t xml:space="preserve">Le gestionnaire crée une offre (valeur, prix, validité, conditions), son design et ses traductions ; fr-MA obligatoire.</t>
  </si>
  <si>
    <t xml:space="preserve">US-007, US-008, US-041, US-059</t>
  </si>
  <si>
    <t xml:space="preserve">3 · Distribution</t>
  </si>
  <si>
    <t xml:space="preserve">L'offre publiée apparaît au catalogue et est partagée par lien direct (UTM) ou bouton sur le site du partenaire.</t>
  </si>
  <si>
    <t xml:space="preserve">US-009, US-011, US-012, US-013</t>
  </si>
  <si>
    <t xml:space="preserve">4 · Achat</t>
  </si>
  <si>
    <t xml:space="preserve">L'acheteur (sans compte) choisit l'offre, le bénéficiaire, le canal, la langue et le message, puis accepte les CGV. Prix et taux sont figés.</t>
  </si>
  <si>
    <t xml:space="preserve">US-014 à US-017</t>
  </si>
  <si>
    <t xml:space="preserve">5 · Paiement</t>
  </si>
  <si>
    <t xml:space="preserve">Le PSP confirme le paiement par notification serveur signée ; la commande passe PAID ; la commission et la transaction sont enregistrées.</t>
  </si>
  <si>
    <t xml:space="preserve">US-018, US-019, US-020, US-049</t>
  </si>
  <si>
    <t xml:space="preserve">6 · Émission et livraison</t>
  </si>
  <si>
    <t xml:space="preserve">Une carte unique est émise, puis envoyée par email ou partagée par WhatsApp ; l'acheteur reçoit sa confirmation.</t>
  </si>
  <si>
    <t xml:space="preserve">US-022 à US-025, US-036</t>
  </si>
  <si>
    <t xml:space="preserve">7 · Utilisation</t>
  </si>
  <si>
    <t xml:space="preserve">Le gestionnaire scanne le QR ou saisit le code, vérifie la carte, puis valide une utilisation unique et atomique.</t>
  </si>
  <si>
    <t xml:space="preserve">US-026, US-027</t>
  </si>
  <si>
    <t xml:space="preserve">8 · Pilotage</t>
  </si>
  <si>
    <t xml:space="preserve">KOADOOO et le partenaire suivent ventes, utilisations, commissions et reversements.</t>
  </si>
  <si>
    <t xml:space="preserve">US-021, US-030, US-031, US-034</t>
  </si>
  <si>
    <t xml:space="preserve">RÈGLES TRANSVERSES</t>
  </si>
  <si>
    <t xml:space="preserve">Séparation des accès</t>
  </si>
  <si>
    <t xml:space="preserve">Un gestionnaire ne voit que son partenaire ; contrôle RBAC + tenant systématique côté serveur ; une ressource d'un autre partenaire répond « introuvable ».</t>
  </si>
  <si>
    <t xml:space="preserve">Paiement et émission</t>
  </si>
  <si>
    <t xml:space="preserve">Seule la notification serveur signée du PSP confirme un paiement ; traitement idempotent ; une carte maximum par commande ; aucune donnée de carte bancaire chez KOADOOO.</t>
  </si>
  <si>
    <t xml:space="preserve">Validité et utilisation</t>
  </si>
  <si>
    <t xml:space="preserve">Carte ACTIVE et non expirée ; utilisation unique et intégrale ; opération atomique contre la double consommation ; expiration à 23:59:59 heure du Maroc.</t>
  </si>
  <si>
    <t xml:space="preserve">Figement (snapshots)</t>
  </si>
  <si>
    <t xml:space="preserve">À la création de la commande : prix, taux de commission, conditions, version d'offre. À l'émission : contenu localisé et design. Rien n'est rétroactif.</t>
  </si>
  <si>
    <t xml:space="preserve">Montants</t>
  </si>
  <si>
    <t xml:space="preserve">MAD uniquement, décimal exact à 2 décimales (jamais de virgule flottante), arrondi au centime demi-supérieur ; écritures financières immuables, corrections par écriture inverse.</t>
  </si>
  <si>
    <t xml:space="preserve">Temps</t>
  </si>
  <si>
    <t xml:space="preserve">Horodatages stockés en UTC ; affichage, filtres de période et calcul d'expiration en Africa/Casablanca.</t>
  </si>
  <si>
    <t xml:space="preserve">Codes et liens</t>
  </si>
  <si>
    <t xml:space="preserve">Référence de carte publique ≠ code d'utilisation secret ; codes et jetons générés cryptographiquement et stockés hashés ; tentatives limitées.</t>
  </si>
  <si>
    <t xml:space="preserve">Multilingue</t>
  </si>
  <si>
    <t xml:space="preserve">fr-MA (défaut), ar-MA (RTL), en ; fallback vers fr-MA ; contenus métier traduits séparément des données invariantes ; message personnel jamais traduit.</t>
  </si>
  <si>
    <t xml:space="preserve">Protection des données</t>
  </si>
  <si>
    <t xml:space="preserve">Minimisation, information des personnes, conservation limitée, conformité à la loi 09-08 et formalités CNDP (D-10).</t>
  </si>
  <si>
    <t xml:space="preserve">Chaque action métier crée un AuditEvent immuable sans secret ; chaque requête porte un identifiant de corrélation.</t>
  </si>
  <si>
    <t xml:space="preserve">BI</t>
  </si>
  <si>
    <t xml:space="preserve">Ventes = paiements confirmés (nettes = moins remboursements) ; utilisations = Redemption ; commissions = FinancialTransaction ; même définition partout.</t>
  </si>
  <si>
    <t xml:space="preserve">GLOSSAIRE</t>
  </si>
  <si>
    <t xml:space="preserve">Valeur faciale (faceValue)</t>
  </si>
  <si>
    <t xml:space="preserve">Montant de prestation auquel la carte donne droit chez le partenaire.</t>
  </si>
  <si>
    <t xml:space="preserve">Prix de vente (salePrice)</t>
  </si>
  <si>
    <t xml:space="preserve">Montant payé par l'acheteur ; ≤ valeur faciale (égal au MVP).</t>
  </si>
  <si>
    <t xml:space="preserve">Commission</t>
  </si>
  <si>
    <t xml:space="preserve">Part KOADOOO = montant payé × taux figé à la commande.</t>
  </si>
  <si>
    <t xml:space="preserve">Part partenaire (partnerAmount)</t>
  </si>
  <si>
    <t xml:space="preserve">Montant payé − commission (avant frais selon D-02).</t>
  </si>
  <si>
    <t xml:space="preserve">Reversement (settlement)</t>
  </si>
  <si>
    <t xml:space="preserve">Regroupement périodique des parts partenaire à virer, tracé jusqu'au paiement.</t>
  </si>
  <si>
    <t xml:space="preserve">Référence de carte</t>
  </si>
  <si>
    <t xml:space="preserve">Identifiant public lisible (KDO-XXXX-XXXX), pour le support et l'historique ; ne permet pas d'utiliser la carte.</t>
  </si>
  <si>
    <t xml:space="preserve">Code d'utilisation</t>
  </si>
  <si>
    <t xml:space="preserve">Secret présenté en caisse (code ou QR) ; permet de vérifier puis valider la carte.</t>
  </si>
  <si>
    <t xml:space="preserve">Émission</t>
  </si>
  <si>
    <t xml:space="preserve">Création de la carte après paiement confirmé.</t>
  </si>
  <si>
    <t xml:space="preserve">Utilisation (redemption)</t>
  </si>
  <si>
    <t xml:space="preserve">Consommation intégrale et définitive de la carte chez le partenaire.</t>
  </si>
  <si>
    <t xml:space="preserve">GMV</t>
  </si>
  <si>
    <t xml:space="preserve">Volume d'affaires brut : somme des paiements confirmés sur une période.</t>
  </si>
  <si>
    <t xml:space="preserve">KOADOOO | Backlog MVP v1.2</t>
  </si>
  <si>
    <t xml:space="preserve">60 user stories · 13 epics · P0 = indispensable MVP · estimations indicatives · colonnes L à N modifiables</t>
  </si>
  <si>
    <t xml:space="preserve">Epic ID</t>
  </si>
  <si>
    <t xml:space="preserve">Epic</t>
  </si>
  <si>
    <t xml:space="preserve">US ID</t>
  </si>
  <si>
    <t xml:space="preserve">User Story</t>
  </si>
  <si>
    <t xml:space="preserve">Persona</t>
  </si>
  <si>
    <t xml:space="preserve">Description fonctionnelle (En tant que… je veux… afin de…)</t>
  </si>
  <si>
    <t xml:space="preserve">Attributs / Data model</t>
  </si>
  <si>
    <t xml:space="preserve">Règles de gestion (RG)</t>
  </si>
  <si>
    <t xml:space="preserve">Critères d'acceptation</t>
  </si>
  <si>
    <t xml:space="preserve">Priorité</t>
  </si>
  <si>
    <t xml:space="preserve">Lot indicatif</t>
  </si>
  <si>
    <t xml:space="preserve">Statut</t>
  </si>
  <si>
    <t xml:space="preserve">Responsable</t>
  </si>
  <si>
    <t xml:space="preserve">Estimation (SP)</t>
  </si>
  <si>
    <t xml:space="preserve">Dépendances / Notes</t>
  </si>
  <si>
    <t xml:space="preserve">Révision v1.1</t>
  </si>
  <si>
    <t xml:space="preserve">Décisions liées</t>
  </si>
  <si>
    <t xml:space="preserve">EP01</t>
  </si>
  <si>
    <t xml:space="preserve">Authentification et accès</t>
  </si>
  <si>
    <t xml:space="preserve">US-001</t>
  </si>
  <si>
    <t xml:space="preserve">Connexion sécurisée</t>
  </si>
  <si>
    <t xml:space="preserve">Admin KOADOOO ; Gestionnaire partenaire</t>
  </si>
  <si>
    <t xml:space="preserve">En tant qu'utilisateur back-office (Admin ou gestionnaire partenaire), je veux me connecter avec mon email et mon mot de passe afin d'accéder uniquement aux fonctions et aux données autorisées pour mon rôle et mon partenaire.</t>
  </si>
  <si>
    <t xml:space="preserve">User : id, email, passwordHash, role (ADMIN | PARTNER_MANAGER), partnerId (null si ADMIN), status (INVITED | ACTIVE | DISABLED), failedLoginCount, lockedUntil, lastLoginAt</t>
  </si>
  <si>
    <t xml:space="preserve">RG1. Email unique, comparé sans tenir compte de la casse.
RG2. Mot de passe hashé (Argon2id ou bcrypt), 10 caractères minimum ; jamais journalisé.
RG3. Seuls les comptes ACTIVE peuvent se connecter.
RG4. Verrouillage 15 min après 5 échecs consécutifs.
RG5. Session expirée après 30 min d'inactivité, durée maximale 8 h.
RG6. Contrôle RBAC et tenant (partnerId) côté serveur sur chaque requête, y compris API.</t>
  </si>
  <si>
    <t xml:space="preserve">AC1. Étant donné un compte ACTIVE, quand je saisis des identifiants valides, alors j'arrive sur le tableau de bord de mon rôle et lastLoginAt est mis à jour.
AC2. Étant donné des identifiants invalides, quand je valide, alors un message générique s'affiche sans indiquer si l'email existe.
AC3. Étant donné 5 échecs consécutifs, alors le compte est verrouillé 15 min et un AuditEvent LOGIN_LOCKED est créé.
AC4. Étant donné un gestionnaire du partenaire A, quand il appelle une ressource du partenaire B (URL ou API), alors il reçoit une erreur 404 sans aucune donnée de B.
AC5. Étant donné 30 min d'inactivité, quand j'effectue une action, alors je suis redirigé vers la connexion.</t>
  </si>
  <si>
    <t xml:space="preserve">Lot 1</t>
  </si>
  <si>
    <t xml:space="preserve">À faire</t>
  </si>
  <si>
    <t xml:space="preserve">US-038, US-039</t>
  </si>
  <si>
    <t xml:space="preserve">Réécrit</t>
  </si>
  <si>
    <t xml:space="preserve">US-002</t>
  </si>
  <si>
    <t xml:space="preserve">Gérer les gestionnaires partenaires</t>
  </si>
  <si>
    <t xml:space="preserve">Admin KOADOOO</t>
  </si>
  <si>
    <t xml:space="preserve">En tant qu'Admin KOADOOO, je veux inviter, activer et désactiver les gestionnaires d'un partenaire afin de contrôler qui peut agir au nom de chaque partenaire.</t>
  </si>
  <si>
    <t xml:space="preserve">User : firstName, lastName, email, role, partnerId, status ; Invitation : userId, tokenHash, expiresAt, acceptedAt</t>
  </si>
  <si>
    <t xml:space="preserve">RG1. Un gestionnaire est rattaché à un et un seul partenaire.
RG2. Jeton d'invitation aléatoire, stocké hashé, à usage unique, valable 72 h.
RG3. La désactivation est immédiate : toutes les sessions du compte sont révoquées.
RG4. Pas de suppression physique d'un compte (traçabilité) ; désactivation uniquement.
RG5. Hypothèse MVP : seul l'Admin gère les gestionnaires ; l'auto-gestion par le partenaire est post-MVP.</t>
  </si>
  <si>
    <t xml:space="preserve">AC1. Étant donné un partenaire existant, quand l'Admin invite un gestionnaire, alors un compte INVITED est créé et un email d'invitation est envoyé dans la langue choisie.
AC2. Étant donné une invitation de plus de 72 h, quand le lien est ouvert, alors un message d'expiration s'affiche et l'Admin peut renvoyer une invitation.
AC3. Étant donné un gestionnaire connecté, quand l'Admin le désactive, alors sa requête suivante est refusée et il est déconnecté.
AC4. Étant donné la liste des comptes, quand l'Admin filtre par partenaire et statut, alors seuls les comptes correspondants s'affichent.</t>
  </si>
  <si>
    <t xml:space="preserve">US-001, US-004, US-044
Persona corrigé (v1.0 : Admin / Partenaire).</t>
  </si>
  <si>
    <t xml:space="preserve">US-003</t>
  </si>
  <si>
    <t xml:space="preserve">Réinitialiser son mot de passe</t>
  </si>
  <si>
    <t xml:space="preserve">En tant qu'utilisateur back-office, je veux réinitialiser mon mot de passe oublié afin de retrouver l'accès à mon compte sans intervention du support.</t>
  </si>
  <si>
    <t xml:space="preserve">PasswordResetToken : userId, tokenHash, expiresAt, usedAt</t>
  </si>
  <si>
    <t xml:space="preserve">RG1. Jeton aléatoire (≥ 128 bits), stocké hashé, valable 30 min, à usage unique.
RG2. Une nouvelle demande invalide le jeton précédent.
RG3. Réponse identique que l'email existe ou non.
RG4. Maximum 3 demandes par heure et par email.
RG5. Après réinitialisation, toutes les sessions existantes sont révoquées.</t>
  </si>
  <si>
    <t xml:space="preserve">AC1. Étant donné un email inconnu, quand je demande une réinitialisation, alors le même message neutre s'affiche que pour un email connu.
AC2. Étant donné un lien valide, quand je définis un nouveau mot de passe conforme, alors je peux me connecter avec celui-ci et le lien devient inutilisable.
AC3. Étant donné deux demandes successives, quand j'utilise le premier lien, alors il est refusé.
AC4. Étant donné un lien de plus de 30 min, alors il est refusé avec invitation à refaire une demande.</t>
  </si>
  <si>
    <t xml:space="preserve">US-001, US-044</t>
  </si>
  <si>
    <t xml:space="preserve">US-047</t>
  </si>
  <si>
    <t xml:space="preserve">Double authentification Admin</t>
  </si>
  <si>
    <t xml:space="preserve">En tant qu'Admin KOADOOO, je veux protéger mon compte par une double authentification afin de sécuriser un accès qui voit toutes les données partenaires et financières.</t>
  </si>
  <si>
    <t xml:space="preserve">User : mfaSecretEncrypted, mfaEnabledAt ; MfaRecoveryCode : userId, codeHash, usedAt</t>
  </si>
  <si>
    <t xml:space="preserve">RG1. MFA TOTP obligatoire pour le rôle ADMIN, optionnelle pour les gestionnaires.
RG2. 10 codes de secours à usage unique, stockés hashés.
RG3. La réinitialisation de la MFA d'un Admin est faite par un autre Admin et journalisée.</t>
  </si>
  <si>
    <t xml:space="preserve">AC1. Étant donné un Admin sans MFA, quand il se connecte, alors il doit l'enrôler avant d'accéder au back-office.
AC2. Étant donné un code TOTP invalide, alors l'accès est refusé et la tentative compte dans le verrouillage US-001.
AC3. Étant donné un code de secours déjà utilisé, alors il est refusé.</t>
  </si>
  <si>
    <t xml:space="preserve">Lot 5</t>
  </si>
  <si>
    <t xml:space="preserve">Nouveau</t>
  </si>
  <si>
    <t xml:space="preserve">EP02</t>
  </si>
  <si>
    <t xml:space="preserve">Gestion des partenaires</t>
  </si>
  <si>
    <t xml:space="preserve">US-004</t>
  </si>
  <si>
    <t xml:space="preserve">Créer et activer un partenaire</t>
  </si>
  <si>
    <t xml:space="preserve">En tant qu'Admin KOADOOO, je veux créer la fiche d'un partenaire puis l'activer afin qu'il puisse publier et vendre des cartes cadeaux sur KOADOOO.</t>
  </si>
  <si>
    <t xml:space="preserve">Partner : id, legalName, tradeName, ICE, contactName, contactEmail, phone, city, address, bankRib, status (DRAFT | ACTIVE | SUSPENDED | ARCHIVED), activatedAt</t>
  </si>
  <si>
    <t xml:space="preserve">RG1. legalName, ICE, contactName et contactEmail obligatoires.
RG2. ICE unique, 15 chiffres.
RG3. RIB (24 chiffres) obligatoire à l'activation si KOADOOO reverse les fonds (D-01).
RG4. Activation possible seulement si : ≥ 1 gestionnaire invité, taux de commission actif (US-005), profil public fr-MA renseigné (US-006).
RG5. Seul un partenaire ACTIVE peut avoir des offres achetables.
RG6. Toute modification est journalisée (valeur avant / après, hors RIB en clair).</t>
  </si>
  <si>
    <t xml:space="preserve">AC1. Étant donné les champs obligatoires valides, quand l'Admin enregistre, alors le partenaire est créé en DRAFT.
AC2. Étant donné un ICE déjà utilisé, alors l'enregistrement est refusé avec un message explicite.
AC3. Étant donné un prérequis manquant, quand l'Admin active, alors l'activation est refusée et la liste des éléments manquants s'affiche.
AC4. Étant donné tous les prérequis, quand l'Admin active, alors le statut passe ACTIVE et activatedAt est renseigné.</t>
  </si>
  <si>
    <t xml:space="preserve">US-002, US-005, US-006
Persona corrigé (v1.0 : Admin / Partenaire).</t>
  </si>
  <si>
    <t xml:space="preserve">D-01</t>
  </si>
  <si>
    <t xml:space="preserve">US-005</t>
  </si>
  <si>
    <t xml:space="preserve">Configurer le taux de commission</t>
  </si>
  <si>
    <t xml:space="preserve">En tant qu'Admin KOADOOO, je veux définir le taux de commission contractuel de chaque partenaire et ses périodes d'application afin que chaque vente soit commissionnée au bon taux.</t>
  </si>
  <si>
    <t xml:space="preserve">PartnerCommission : partnerId, rate (%, 2 décimales), effectiveFrom, effectiveTo, createdBy, contractReference</t>
  </si>
  <si>
    <t xml:space="preserve">RG1. Taux compris entre 3,00 % et 10,00 %.
RG2. Une seule période active à une date donnée (pas de chevauchement).
RG3. effectiveFrom ≥ date du jour : aucune modification rétroactive.
RG4. Le taux appliqué est celui actif à la création de la commande ; il est figé dans le snapshot de la commande puis repris dans la transaction (US-014, US-020).
RG5. Historique conservé, non supprimable.</t>
  </si>
  <si>
    <t xml:space="preserve">AC1. Étant donné un taux de 2,50 % ou 10,50 %, alors l'enregistrement est refusé.
AC2. Étant donné un taux de 5 % actif et un nouveau taux de 7 % au 1er du mois suivant, quand une commande est créée avant cette date, alors sa commission est calculée à 5 %, même si elle est payée après.
AC3. Étant donné deux périodes qui se chevauchent, alors l'enregistrement est refusé.
AC4. Étant donné une modification, alors l'historique affiche ancien taux, nouveau taux, auteur et date.</t>
  </si>
  <si>
    <t xml:space="preserve">US-004
Persona corrigé ; moment du figement précisé.</t>
  </si>
  <si>
    <t xml:space="preserve">D-02</t>
  </si>
  <si>
    <t xml:space="preserve">US-006</t>
  </si>
  <si>
    <t xml:space="preserve">Personnaliser le profil public</t>
  </si>
  <si>
    <t xml:space="preserve">Gestionnaire partenaire ; Admin KOADOOO</t>
  </si>
  <si>
    <t xml:space="preserve">En tant que gestionnaire partenaire, je veux personnaliser le profil public de mon enseigne afin que les acheteurs la reconnaissent et lui fassent confiance.</t>
  </si>
  <si>
    <t xml:space="preserve">PartnerProfile : partnerId, publicSlug, logoAssetId, bannerAssetId, websiteUrl, instagramUrl, city ; textes dans PartnerTranslation (US-042)</t>
  </si>
  <si>
    <t xml:space="preserve">RG1. Images validées par US-059.
RG2. URLs en https uniquement.
RG3. Aucune donnée administrative exposée publiquement (ICE, RIB, contact interne, raison sociale si différente).
RG4. publicSlug unique, généré à partir du nom commercial, modifiable par l'Admin uniquement.</t>
  </si>
  <si>
    <t xml:space="preserve">AC1. Étant donné un profil enregistré, quand j'ouvre /p/{slug}, alors logo, bannière, description et ville s'affichent dans la langue courante.
AC2. Étant donné la page publique ou l'API publique, alors ni l'ICE ni le RIB n'apparaissent dans la réponse.
AC3. Étant donné une URL en http, alors elle est refusée.</t>
  </si>
  <si>
    <t xml:space="preserve">Lot 2</t>
  </si>
  <si>
    <t xml:space="preserve">US-042, US-059
Déplacé du Lot 1 au Lot 2 (dépend des médias US-059).</t>
  </si>
  <si>
    <t xml:space="preserve">EP03</t>
  </si>
  <si>
    <t xml:space="preserve">Offres et cartes</t>
  </si>
  <si>
    <t xml:space="preserve">US-007</t>
  </si>
  <si>
    <t xml:space="preserve">Créer une offre en brouillon</t>
  </si>
  <si>
    <t xml:space="preserve">Gestionnaire partenaire</t>
  </si>
  <si>
    <t xml:space="preserve">En tant que gestionnaire partenaire, je veux créer une offre de carte cadeau en brouillon afin de la préparer avant sa mise en vente.</t>
  </si>
  <si>
    <t xml:space="preserve">Offer : id, partnerId, faceValue, salePrice, currency (MAD), validityDays, status, version, createdBy, updatedAt ; OfferTranslation (US-041)</t>
  </si>
  <si>
    <t xml:space="preserve">RG1. faceValue et salePrice &gt; 0, 2 décimales, entre 50 et 10 000 MAD (bornes D-12).
RG2. salePrice ≤ faceValue ; hypothèse MVP : salePrice = faceValue (pas de remise).
RG3. validityDays entre 30 et 730 jours, 365 par défaut.
RG4. Devise MAD uniquement.
RG5. Un brouillon peut être incomplet ; la publication exige la traduction fr-MA complète (titre, description, conditions, instructions) et un design (US-008).
RG6. L'offre n'est visible que par son partenaire et l'Admin.</t>
  </si>
  <si>
    <t xml:space="preserve">AC1. Étant donné un brouillon partiellement rempli, quand je l'enregistre puis le rouvre, alors toutes les valeurs saisies sont présentes.
AC2. Étant donné un montant à 0 ou négatif, alors l'enregistrement est refusé.
AC3. Étant donné une validité de 10 jours, alors l'enregistrement est refusé avec la plage autorisée.
AC4. Étant donné un gestionnaire d'un autre partenaire, alors l'offre lui est invisible.</t>
  </si>
  <si>
    <t xml:space="preserve">US-004, US-041</t>
  </si>
  <si>
    <t xml:space="preserve">D-12</t>
  </si>
  <si>
    <t xml:space="preserve">US-008</t>
  </si>
  <si>
    <t xml:space="preserve">Personnaliser le design de la carte</t>
  </si>
  <si>
    <t xml:space="preserve">En tant que gestionnaire partenaire, je veux personnaliser le visuel de ma carte cadeau afin qu'elle reflète mon image de marque.</t>
  </si>
  <si>
    <t xml:space="preserve">CardTemplate : id, offerId, backgroundAssetId, logoAssetId, primaryColor, textColor ; CardTemplateTranslation : templateId, locale, defaultMessage</t>
  </si>
  <si>
    <t xml:space="preserve">RG1. Couleurs au format HEX #RRGGBB.
RG2. Contraste texte / fond ≥ 4,5:1 (WCAG AA) ; en dessous, avertissement bloquant à la publication.
RG3. Aperçu mobile et desktop, en fr-MA et en ar-MA (RTL).
RG4. Les cartes déjà émises gardent leur design (snapshot immuable, US-022).</t>
  </si>
  <si>
    <t xml:space="preserve">AC1. Étant donné un design enregistré, quand j'ouvre l'aperçu, alors je vois la carte en mobile et desktop, en français et en arabe.
AC2. Étant donné une couleur 'rouge' ou '#FFF', alors la saisie est refusée.
AC3. Étant donné une carte déjà émise, quand je modifie le design, alors la page cadeau de cette carte ne change pas.</t>
  </si>
  <si>
    <t xml:space="preserve">US-007, US-046, US-059</t>
  </si>
  <si>
    <t xml:space="preserve">US-009</t>
  </si>
  <si>
    <t xml:space="preserve">Publier et dépublier une offre</t>
  </si>
  <si>
    <t xml:space="preserve">En tant que gestionnaire partenaire, je veux publier ou retirer une offre afin de contrôler ce qui est en vente.</t>
  </si>
  <si>
    <t xml:space="preserve">Offer : status (DRAFT | PUBLISHED | UNPUBLISHED | ARCHIVED), publishedAt, unpublishedAt</t>
  </si>
  <si>
    <t xml:space="preserve">RG1. Transitions : DRAFT → PUBLISHED → UNPUBLISHED → PUBLISHED ; ARCHIVED est terminal (onglet 04).
RG2. Publication possible si l'offre est complète (US-007) et le partenaire ACTIVE.
RG3. Une offre UNPUBLISHED n'accepte aucune nouvelle commande, y compris par lien direct.
RG4. Une commande PENDING_PAYMENT créée avant la dépublication peut aboutir ; la carte est émise.
RG5. Les cartes émises ne sont pas affectées.
RG6. Si l'approbation Admin est retenue (D-04), la publication passe par US-055.</t>
  </si>
  <si>
    <t xml:space="preserve">AC1. Étant donné une offre incomplète, quand je publie, alors la publication est refusée avec la liste des éléments manquants.
AC2. Étant donné une offre publiée, alors elle apparaît dans le catalogue en moins d'une minute.
AC3. Étant donné une offre dépubliée, quand un visiteur ouvre son lien direct, alors une page « offre indisponible » s'affiche sans bouton d'achat.
AC4. Étant donné une commande en attente de paiement au moment de la dépublication, quand le paiement est confirmé, alors la carte est émise normalement.</t>
  </si>
  <si>
    <t xml:space="preserve">US-007, US-008, US-041</t>
  </si>
  <si>
    <t xml:space="preserve">D-04</t>
  </si>
  <si>
    <t xml:space="preserve">US-010</t>
  </si>
  <si>
    <t xml:space="preserve">Consulter et modifier ses offres</t>
  </si>
  <si>
    <t xml:space="preserve">En tant que gestionnaire partenaire, je veux lister et modifier mes offres afin de maintenir mon catalogue à jour sans impacter les cartes déjà vendues.</t>
  </si>
  <si>
    <t xml:space="preserve">Offer : id, partnerId, version, status, updatedAt</t>
  </si>
  <si>
    <t xml:space="preserve">RG1. Liste limitée au partenaire connecté ; filtres statut et recherche par titre.
RG2. Modifier une offre publiée crée une nouvelle version ; les commandes et cartes gardent la version achetée.
RG3. Les changements de prix ou de conditions ne sont jamais rétroactifs.
RG4. Duplication d'une offre possible (nouvelle offre DRAFT).</t>
  </si>
  <si>
    <t xml:space="preserve">AC1. Étant donné mes offres, quand je filtre sur PUBLISHED, alors seules mes offres publiées s'affichent.
AC2. Étant donné une offre vendue à 300 MAD, quand je passe son prix à 350 MAD, alors les cartes déjà vendues restent à 300 MAD et les nouvelles commandes sont à 350 MAD.
AC3. Étant donné une offre, quand je la duplique, alors une copie DRAFT est créée avec ses traductions et son design.</t>
  </si>
  <si>
    <t xml:space="preserve">US-055</t>
  </si>
  <si>
    <t xml:space="preserve">Approuver la publication d'une offre</t>
  </si>
  <si>
    <t xml:space="preserve">En tant qu'Admin KOADOOO, je veux valider les offres avant leur mise en ligne afin de garantir la qualité et la conformité du catalogue.</t>
  </si>
  <si>
    <t xml:space="preserve">Offer : status PENDING_REVIEW, reviewedBy, reviewedAt, rejectionReason</t>
  </si>
  <si>
    <t xml:space="preserve">RG1. Activée seulement si D-04 retient l'approbation Admin (paramètre plateforme).
RG2. Le rejet exige un motif, visible par le partenaire.
RG3. Une nouvelle version d'offre publiée repasse en revue si le paramètre l'exige.</t>
  </si>
  <si>
    <t xml:space="preserve">AC1. Étant donné le mode approbation actif, quand un partenaire publie, alors l'offre passe PENDING_REVIEW et n'est pas visible au public.
AC2. Étant donné un rejet avec motif, alors le partenaire voit le motif et l'offre revient en DRAFT.</t>
  </si>
  <si>
    <t xml:space="preserve">Lot 6</t>
  </si>
  <si>
    <t xml:space="preserve">US-009, US-058
Conditionnelle : à supprimer si D-04 = publication autonome.</t>
  </si>
  <si>
    <t xml:space="preserve">US-059</t>
  </si>
  <si>
    <t xml:space="preserve">Téléverser et contrôler les médias</t>
  </si>
  <si>
    <t xml:space="preserve">Gestionnaire partenaire ; Système</t>
  </si>
  <si>
    <t xml:space="preserve">En tant que gestionnaire partenaire, je veux téléverser logos et visuels afin de les utiliser dans mon profil et mes cartes.</t>
  </si>
  <si>
    <t xml:space="preserve">MediaAsset : id, partnerId, type, mimeType, sizeBytes, width, height, storageKey, createdBy</t>
  </si>
  <si>
    <t xml:space="preserve">RG1. Formats JPG, PNG, WebP ; 2 Mo maximum ; dimensions minimales par usage (logo 256 × 256, visuel 1200 × 750).
RG2. Contrôle du type réel du fichier (pas seulement l'extension) ; métadonnées EXIF supprimées.
RG3. Variantes redimensionnées générées pour mobile et desktop.
RG4. Un média appartient à un partenaire et n'est réutilisable que par lui.</t>
  </si>
  <si>
    <t xml:space="preserve">AC1. Étant donné un PDF renommé en .png, alors le téléversement est refusé.
AC2. Étant donné une image de 5 Mo, alors elle est refusée avec la limite affichée.
AC3. Étant donné une image valide, alors elle est disponible immédiatement pour le profil et le design.</t>
  </si>
  <si>
    <t xml:space="preserve">Besoin implicite de US-006 et US-008 en v1.0.</t>
  </si>
  <si>
    <t xml:space="preserve">EP04</t>
  </si>
  <si>
    <t xml:space="preserve">Vitrine et distribution</t>
  </si>
  <si>
    <t xml:space="preserve">US-011</t>
  </si>
  <si>
    <t xml:space="preserve">Consulter le catalogue</t>
  </si>
  <si>
    <t xml:space="preserve">Visiteur / Acheteur</t>
  </si>
  <si>
    <t xml:space="preserve">En tant que visiteur, je veux parcourir les offres disponibles et consulter leur détail afin de choisir une carte cadeau à offrir.</t>
  </si>
  <si>
    <t xml:space="preserve">Offer + OfferTranslation + PartnerTranslation : title, description, faceValue, salePrice, image, validityDays, partner, city</t>
  </si>
  <si>
    <t xml:space="preserve">RG1. Seules les offres PUBLISHED de partenaires ACTIVE sont visibles.
RG2. Contenu affiché dans la langue courante avec fallback (US-045).
RG3. Filtres MVP : ville et partenaire ; tri par prix et nouveauté.
RG4. Montants formatés selon la locale (ex. 1 250,00 MAD).
RG5. Aucun compte requis.</t>
  </si>
  <si>
    <t xml:space="preserve">AC1. Étant donné un partenaire suspendu, alors aucune de ses offres n'apparaît dans le catalogue.
AC2. Étant donné un mobile de 360 px de large, alors la liste et le détail sont utilisables sans défilement horizontal.
AC3. Étant donné le détail d'une offre, alors prix, valeur, durée de validité, conditions et bouton « Offrir » sont visibles.
AC4. Étant donné une offre sans traduction en anglais, quand je navigue en anglais, alors le contenu fr-MA s'affiche.</t>
  </si>
  <si>
    <t xml:space="preserve">US-009, US-045</t>
  </si>
  <si>
    <t xml:space="preserve">US-012</t>
  </si>
  <si>
    <t xml:space="preserve">Partager le lien d'une offre</t>
  </si>
  <si>
    <t xml:space="preserve">Gestionnaire partenaire ; Acheteur</t>
  </si>
  <si>
    <t xml:space="preserve">En tant que gestionnaire partenaire, je veux partager un lien direct vers mon offre sur les réseaux sociaux afin d'attirer des acheteurs et de mesurer l'efficacité de mes campagnes.</t>
  </si>
  <si>
    <t xml:space="preserve">OfferLink : offerId, slug ; Order : utmSource, utmMedium, utmCampaign</t>
  </si>
  <si>
    <t xml:space="preserve">RG1. Slug unique et stable dans le temps.
RG2. Les paramètres UTM sont conservés jusqu'à la commande et enregistrés sur Order (BI US-030 / US-031).
RG3. Le lien d'une offre indisponible affiche une page « indisponible » avec les autres offres du partenaire.
RG4. Balises Open Graph localisées (titre, image) pour l'aperçu WhatsApp, Instagram et Facebook.</t>
  </si>
  <si>
    <t xml:space="preserve">AC1. Étant donné un lien avec utm_source=instagram, quand le visiteur achète, alors la commande porte utmSource = instagram.
AC2. Étant donné le lien collé dans WhatsApp, alors l'aperçu affiche le titre et l'image de l'offre.
AC3. Étant donné une offre dépubliée, quand le lien est ouvert, alors l'achat est impossible.</t>
  </si>
  <si>
    <t xml:space="preserve">US-013</t>
  </si>
  <si>
    <t xml:space="preserve">Intégrer un bouton sur le site partenaire</t>
  </si>
  <si>
    <t xml:space="preserve">En tant que gestionnaire partenaire, je veux copier un bouton à intégrer sur mon site afin que mes clients achètent mes cartes en un clic.</t>
  </si>
  <si>
    <t xml:space="preserve">OfferLink : offerId, embedSnippet, utmSource = partner_site</t>
  </si>
  <si>
    <t xml:space="preserve">RG1. Snippet HTML copiable (lien stylé), sans script tiers obligatoire.
RG2. Ouvre la page de l'offre sur KOADOOO dans un nouvel onglet.
RG3. Aucun paiement sur le site tiers (pas d'iframe de paiement).</t>
  </si>
  <si>
    <t xml:space="preserve">AC1. Étant donné le snippet collé sur une page, quand on clique, alors la bonne offre s'ouvre sur KOADOOO avec utm_source=partner_site.</t>
  </si>
  <si>
    <t xml:space="preserve">US-012
Repassée P1 : le lien partageable US-012 couvre le besoin du pilote.</t>
  </si>
  <si>
    <t xml:space="preserve">EP05</t>
  </si>
  <si>
    <t xml:space="preserve">Achat et personnalisation</t>
  </si>
  <si>
    <t xml:space="preserve">US-014</t>
  </si>
  <si>
    <t xml:space="preserve">Initier une commande sans compte</t>
  </si>
  <si>
    <t xml:space="preserve">Acheteur</t>
  </si>
  <si>
    <t xml:space="preserve">En tant qu'acheteur, je veux commander une carte cadeau sans créer de compte afin d'offrir un cadeau rapidement.</t>
  </si>
  <si>
    <t xml:space="preserve">Order : id, reference, offerId, offerVersion, partnerId, buyerName, buyerEmail, buyerLocale, amount, currency, commissionRateSnapshot, offerSnapshot, utm*, status, expiresAt, createdAt</t>
  </si>
  <si>
    <t xml:space="preserve">RG1. L'offre doit être PUBLISHED et le partenaire ACTIVE au moment de la création.
RG2. Prix, taux de commission, conditions et contenu de l'offre sont figés dans le snapshot.
RG3. Statut initial PENDING_PAYMENT, expiration après 30 min (US-048).
RG4. Référence unique non séquentielle (ex. KDO-2610-7Q4XK2).
RG5. Email acheteur valide obligatoire ; une carte par commande.</t>
  </si>
  <si>
    <t xml:space="preserve">AC1. Étant donné une offre publiée, quand je clique sur « Offrir » et saisis mes coordonnées, alors une commande PENDING_PAYMENT est créée avec une référence unique.
AC2. Étant donné une offre dépubliée entre l'affichage et la validation, alors la commande est refusée avec un message clair.
AC3. Étant donné une commande créée, quand le partenaire change son prix, alors le montant de la commande ne change pas.</t>
  </si>
  <si>
    <t xml:space="preserve">Lot 3</t>
  </si>
  <si>
    <t xml:space="preserve">US-009, US-005</t>
  </si>
  <si>
    <t xml:space="preserve">US-015</t>
  </si>
  <si>
    <t xml:space="preserve">Renseigner le bénéficiaire</t>
  </si>
  <si>
    <t xml:space="preserve">En tant qu'acheteur, je veux indiquer à qui j'offre la carte, par quel canal et dans quelle langue afin qu'elle lui parvienne correctement.</t>
  </si>
  <si>
    <t xml:space="preserve">GiftRecipient : orderId, recipientName, recipientEmail, recipientPhone (E.164), deliveryChannel (EMAIL | WHATSAPP), recipientLocale</t>
  </si>
  <si>
    <t xml:space="preserve">RG1. Canal EMAIL : email bénéficiaire obligatoire et valide.
RG2. Canal WHATSAPP : numéro facultatif ; le partage est fait par l'acheteur (US-025).
RG3. Téléphone au format international, +212 proposé par défaut.
RG4. Langue du bénéficiaire obligatoire, par défaut celle de l'acheteur.
RG5. Seules les données nécessaires à la livraison sont collectées.</t>
  </si>
  <si>
    <t xml:space="preserve">AC1. Étant donné le canal EMAIL sans email, alors le passage au paiement est bloqué avec un message sur le champ.
AC2. Étant donné le numéro 0612345678, alors il est normalisé en +212612345678.
AC3. Étant donné une langue bénéficiaire en arabe, alors la carte et l'email cadeau seront en arabe (US-043).</t>
  </si>
  <si>
    <t xml:space="preserve">US-016</t>
  </si>
  <si>
    <t xml:space="preserve">Ajouter un message personnel</t>
  </si>
  <si>
    <t xml:space="preserve">En tant qu'acheteur, je veux écrire un message et signer la carte afin de personnaliser mon cadeau.</t>
  </si>
  <si>
    <t xml:space="preserve">GiftPersonalization : orderId, senderDisplayName, personalMessage, templateId</t>
  </si>
  <si>
    <t xml:space="preserve">RG1. senderDisplayName : 50 caractères max ; personalMessage : 300 caractères max.
RG2. Unicode accepté (arabe, emoji) ; affichage avec direction automatique.
RG3. Contenu échappé à l'affichage (protection XSS).
RG4. Pas de traduction automatique du message.</t>
  </si>
  <si>
    <t xml:space="preserve">AC1. Étant donné un message de 301 caractères, alors la saisie est bloquée et un compteur l'indique.
AC2. Étant donné un message contenant &lt;script&gt;, alors il s'affiche comme du texte dans l'aperçu et sur la carte.
AC3. Étant donné un message en arabe sur une carte en français, alors il s'affiche de droite à gauche dans son bloc.</t>
  </si>
  <si>
    <t xml:space="preserve">US-017</t>
  </si>
  <si>
    <t xml:space="preserve">Confirmer le récapitulatif</t>
  </si>
  <si>
    <t xml:space="preserve">En tant qu'acheteur, je veux vérifier un récapitulatif complet et accepter les conditions avant de payer afin d'éviter toute erreur.</t>
  </si>
  <si>
    <t xml:space="preserve">Order : termsAcceptedAt, termsVersion, offerSnapshot</t>
  </si>
  <si>
    <t xml:space="preserve">RG1. Le récapitulatif affiche : offre, partenaire, valeur, prix, date d'expiration prévisionnelle, conditions, bénéficiaire, canal, langue, message.
RG2. Acceptation explicite des CGV (case non pré-cochée) ; la version acceptée est enregistrée (US-060).
RG3. Modification possible tant que le paiement n'est pas lancé.</t>
  </si>
  <si>
    <t xml:space="preserve">AC1. Étant donné la case CGV non cochée, alors le bouton « Payer » est inactif.
AC2. Étant donné la confirmation, alors je suis redirigé vers la page de paiement du PSP avec le montant exact de la commande.
AC3. Étant donné un retour en arrière, quand je corrige le bénéficiaire, alors le récapitulatif est mis à jour.</t>
  </si>
  <si>
    <t xml:space="preserve">US-015, US-016, US-060</t>
  </si>
  <si>
    <t xml:space="preserve">US-048</t>
  </si>
  <si>
    <t xml:space="preserve">Expirer les commandes non payées</t>
  </si>
  <si>
    <t xml:space="preserve">Système</t>
  </si>
  <si>
    <t xml:space="preserve">En tant que système, je veux clôturer les commandes non payées après un délai afin de libérer les données et garder des statistiques justes.</t>
  </si>
  <si>
    <t xml:space="preserve">Order : status EXPIRED, expiresAt</t>
  </si>
  <si>
    <t xml:space="preserve">RG1. Une commande PENDING_PAYMENT passe EXPIRED 30 min après sa création (paramètre US-058).
RG2. Un paiement confirmé reçu après expiration est accepté : la commande passe PAID et la carte est émise (l'encaissement prime).
RG3. Exception : si le partenaire est suspendu, la commande passe en remboursement (US-050).</t>
  </si>
  <si>
    <t xml:space="preserve">AC1. Étant donné une commande non payée depuis 31 min, alors elle est EXPIRED.
AC2. Étant donné une commande EXPIRED, quand le PSP confirme le paiement, alors elle passe PAID et une seule carte est émise.
AC3. Étant donné les KPI, alors les commandes EXPIRED ne comptent pas dans les ventes.</t>
  </si>
  <si>
    <t xml:space="preserve">US-014, US-018</t>
  </si>
  <si>
    <t xml:space="preserve">EP06</t>
  </si>
  <si>
    <t xml:space="preserve">Paiement et commissions</t>
  </si>
  <si>
    <t xml:space="preserve">US-018</t>
  </si>
  <si>
    <t xml:space="preserve">Payer en ligne via le PSP</t>
  </si>
  <si>
    <t xml:space="preserve">Acheteur ; Système</t>
  </si>
  <si>
    <t xml:space="preserve">En tant qu'acheteur, je veux payer ma commande par carte bancaire sur une page sécurisée afin de finaliser mon achat en confiance.</t>
  </si>
  <si>
    <t xml:space="preserve">Payment : id, orderId, provider, providerTransactionId, amount, currency, status (INITIATED | CONFIRMED | FAILED | CANCELLED | REFUNDED), confirmedAt, rawEventRef</t>
  </si>
  <si>
    <t xml:space="preserve">RG1. Paiement sur la page hébergée du PSP : aucune donnée de carte ne transite ni n'est stockée chez KOADOOO.
RG2. Seule la notification serveur signée du PSP confirme un paiement ; le retour navigateur ne fait qu'afficher un état.
RG3. Montant et devise doivent correspondre à la commande ; sinon : pas d'émission, alerte Admin.
RG4. Traitement idempotent sur providerTransactionId.
RG5. Plusieurs tentatives possibles par commande, une seule CONFIRMED.
RG6. Paiement CONFIRMED et commande PAID sont enregistrés dans la même transaction base de données.</t>
  </si>
  <si>
    <t xml:space="preserve">AC1. Étant donné deux notifications identiques reçues simultanément, alors la commande est PAID une seule fois et une seule carte est émise.
AC2. Étant donné un paiement refusé, alors l'acheteur peut réessayer depuis la même commande.
AC3. Étant donné une notification à 400 MAD pour une commande de 500 MAD, alors la commande reste non payée et une alerte est créée.
AC4. Étant donné un retour navigateur avant la notification, alors la page affiche « paiement en cours de confirmation » puis se met à jour.</t>
  </si>
  <si>
    <t xml:space="preserve">D-01, D-06</t>
  </si>
  <si>
    <t xml:space="preserve">US-019</t>
  </si>
  <si>
    <t xml:space="preserve">Calculer la commission</t>
  </si>
  <si>
    <t xml:space="preserve">En tant que système, je veux calculer la commission KOADOOO et la part partenaire de chaque vente afin que les montants dus soient exacts et vérifiables.</t>
  </si>
  <si>
    <t xml:space="preserve">FinancialTransaction : commissionRate, grossAmount, commissionAmount, partnerAmount</t>
  </si>
  <si>
    <t xml:space="preserve">RG1. Base = montant payé TTC (hypothèse D-02).
RG2. commissionAmount = base × taux figé de la commande, arrondi au centime (demi-supérieur).
RG3. partnerAmount = base − commissionAmount.
RG4. Calcul en décimal exact, jamais en virgule flottante.
RG5. Traitement des frais PSP et de la TVA sur commission selon D-02.</t>
  </si>
  <si>
    <t xml:space="preserve">AC1. Étant donné 500,00 MAD à 7,50 %, alors commission = 37,50 MAD et part partenaire = 462,50 MAD.
AC2. Étant donné 199,99 MAD à 3,33 %, alors commission = 6,66 MAD et part partenaire = 193,33 MAD.
AC3. Étant donné un changement de taux après la commande, alors le calcul utilise le taux figé.</t>
  </si>
  <si>
    <t xml:space="preserve">US-005, US-018</t>
  </si>
  <si>
    <t xml:space="preserve">US-020</t>
  </si>
  <si>
    <t xml:space="preserve">Enregistrer la transaction financière</t>
  </si>
  <si>
    <t xml:space="preserve">Système ; Admin KOADOOO</t>
  </si>
  <si>
    <t xml:space="preserve">En tant qu'Admin KOADOOO, je veux qu'une écriture financière immuable soit créée pour chaque vente payée afin de rapprocher les encaissements, commissions et reversements.</t>
  </si>
  <si>
    <t xml:space="preserve">FinancialTransaction : id, orderId, paymentId, partnerId, type (SALE | REFUND), grossAmount, commissionRate, commissionAmount, partnerAmount, currency, status (RECORDED | SETTLED | REVERSED), settlementId, createdAt</t>
  </si>
  <si>
    <t xml:space="preserve">RG1. Une seule transaction SALE par commande payée (contrainte unique orderId + type).
RG2. Montants non modifiables ; une correction se fait par une écriture inverse (REFUND).
RG3. Rapprochable avec providerTransactionId.
RG4. Remplace l'entité TransactionCommission de la v1.0 (fusion).</t>
  </si>
  <si>
    <t xml:space="preserve">AC1. Étant donné un paiement confirmé, alors une transaction SALE RECORDED est créée avec les montants de US-019.
AC2. Étant donné une tentative de modification d'un montant, alors elle est refusée (y compris par l'Admin).
AC3. Étant donné une recherche par providerTransactionId, alors la transaction et la commande associées s'affichent.</t>
  </si>
  <si>
    <t xml:space="preserve">US-021</t>
  </si>
  <si>
    <t xml:space="preserve">Suivre les reversements partenaires</t>
  </si>
  <si>
    <t xml:space="preserve">En tant qu'Admin KOADOOO, je veux regrouper les montants dus à chaque partenaire par période et tracer leur paiement afin de reverser les bons montants sans doublon.</t>
  </si>
  <si>
    <t xml:space="preserve">PartnerSettlement : id, partnerId, periodStart, periodEnd, grossAmount, commissionAmount, refundAmount, netPayable, status (DRAFT | VALIDATED | PAID | CANCELLED), paymentReference, paidAt</t>
  </si>
  <si>
    <t xml:space="preserve">RG1. Période mensuelle par défaut (D-02) ; fait générateur selon D-11.
RG2. Une transaction ne peut appartenir qu'à un seul reversement.
RG3. netPayable = Σ partnerAmount − Σ remboursements de la période (y compris remboursements de ventes déjà reversées).
RG4. Passage à PAID : référence de virement et date obligatoires.
RG5. Annulation possible uniquement avant PAID ; les transactions sont alors libérées.
RG6. Virement exécuté hors plateforme (manuel), seulement tracé ici.</t>
  </si>
  <si>
    <t xml:space="preserve">AC1. Étant donné le mois d'octobre, quand l'Admin génère le reversement d'un partenaire, alors il reprend toutes ses transactions non encore reversées de la période.
AC2. Étant donné une transaction déjà reversée, alors elle n'apparaît dans aucun nouveau reversement.
AC3. Étant donné un passage à PAID sans référence, alors il est refusé.
AC4. Étant donné le dashboard partenaire, alors les montants dus et payés sont distincts.</t>
  </si>
  <si>
    <t xml:space="preserve">US-020
Repassée P1 / Lot 5 : premier reversement à la fin de la première période.</t>
  </si>
  <si>
    <t xml:space="preserve">D-01, D-02, D-11</t>
  </si>
  <si>
    <t xml:space="preserve">US-049</t>
  </si>
  <si>
    <t xml:space="preserve">Rapprocher les paiements avec le PSP</t>
  </si>
  <si>
    <t xml:space="preserve">En tant qu'Admin KOADOOO, je veux que les paiements soient rapprochés automatiquement avec le PSP afin qu'aucun paiement encaissé ne reste sans carte émise.</t>
  </si>
  <si>
    <t xml:space="preserve">ReconciliationRun : startedAt, checkedCount, anomalyCount ; ReconciliationAnomaly : type, orderId, paymentId, details, resolvedAt</t>
  </si>
  <si>
    <t xml:space="preserve">RG1. Toutes les 15 min : interrogation du PSP pour les paiements INITIATED de plus de 15 min.
RG2. Un paiement confirmé chez le PSP mais pas chez KOADOOO est traité comme une notification (même code idempotent que US-018).
RG3. Rapport quotidien des anomalies : montant divergent, paiement inconnu, remboursement non tracé.
RG4. Action Admin « resynchroniser » ; aucune saisie manuelle de statut de paiement.</t>
  </si>
  <si>
    <t xml:space="preserve">AC1. Étant donné une notification PSP perdue, quand le rapprochement passe, alors la commande devient PAID et la carte est émise.
AC2. Étant donné un écart de montant, alors une anomalie est créée et visible par l'Admin.</t>
  </si>
  <si>
    <t xml:space="preserve">US-018
Dépend de l'API de consultation du PSP choisi.</t>
  </si>
  <si>
    <t xml:space="preserve">D-06</t>
  </si>
  <si>
    <t xml:space="preserve">US-050</t>
  </si>
  <si>
    <t xml:space="preserve">Rembourser une commande</t>
  </si>
  <si>
    <t xml:space="preserve">En tant qu'Admin KOADOOO, je veux enregistrer le remboursement d'une commande afin de traiter les réclamations tout en gardant des comptes justes.</t>
  </si>
  <si>
    <t xml:space="preserve">Refund : id, orderId, paymentId, amount, reason, providerRefundId, performedBy, performedAt</t>
  </si>
  <si>
    <t xml:space="preserve">RG1. MVP : remboursement total exécuté dans le PSP (ou via son API), enregistré dans KOADOOO avec motif.
RG2. Impossible si la carte est REDEEMED.
RG3. Effets : Order → REFUNDED, Payment → REFUNDED, carte → CANCELLED, écriture FinancialTransaction REFUND.
RG4. Si la vente a déjà été reversée, le montant est déduit du reversement suivant (US-021).
RG5. Email de confirmation à l'acheteur.</t>
  </si>
  <si>
    <t xml:space="preserve">AC1. Étant donné une carte ACTIVE, quand l'Admin rembourse, alors la carte devient inutilisable et la page cadeau affiche « carte annulée ».
AC2. Étant donné une carte utilisée, alors le remboursement est refusé.
AC3. Étant donné un remboursement, alors les KPI de ventes nettes diminuent du montant remboursé.</t>
  </si>
  <si>
    <t xml:space="preserve">US-020, US-051</t>
  </si>
  <si>
    <t xml:space="preserve">D-03</t>
  </si>
  <si>
    <t xml:space="preserve">EP07</t>
  </si>
  <si>
    <t xml:space="preserve">Émission et livraison</t>
  </si>
  <si>
    <t xml:space="preserve">US-022</t>
  </si>
  <si>
    <t xml:space="preserve">Émettre la carte cadeau</t>
  </si>
  <si>
    <t xml:space="preserve">En tant que système, je veux émettre une carte cadeau unique dès que le paiement est confirmé afin que le bénéficiaire puisse l'utiliser.</t>
  </si>
  <si>
    <t xml:space="preserve">GiftCard : id, orderId, partnerId, offerId, offerVersion, cardReference, redemptionCodeHash, faceValue, currency, issuedLocale, localizedContentSnapshot, templateSnapshot, issuedAt, expiresAt, status</t>
  </si>
  <si>
    <t xml:space="preserve">RG1. Émission déclenchée uniquement par un Payment CONFIRMED.
RG2. Une carte au plus par commande (contrainte unique sur orderId) ; l'émission est idempotente.
RG3. cardReference : identifiant public lisible (ex. KDO-7F3K-92QX), utilisé pour le support et l'historique.
RG4. Code d'utilisation secret : 10 caractères sans ambiguïté (pas de 0/O, 1/I), généré par un générateur cryptographique, stocké uniquement sous forme de HMAC-SHA256 (recherche possible, jamais en clair).
RG5. expiresAt = 23:59:59 heure du Maroc (Africa/Casablanca) du jour issuedAt + validityDays.
RG6. Contenu figé dans la langue du bénéficiaire (US-043) et design figé (US-008).</t>
  </si>
  <si>
    <t xml:space="preserve">AC1. Étant donné un paiement confirmé, alors une carte ACTIVE est créée en moins de 10 s.
AC2. Étant donné deux déclenchements pour la même commande, alors une seule carte existe.
AC3. Étant donné la base de données, alors aucun code d'utilisation n'y figure en clair.
AC4. Étant donné une offre valable 365 jours émise le 16/10/2026, alors la carte expire le 16/10/2027 à 23:59:59 heure du Maroc.</t>
  </si>
  <si>
    <t xml:space="preserve">Lot 4</t>
  </si>
  <si>
    <t xml:space="preserve">US-018, US-043</t>
  </si>
  <si>
    <t xml:space="preserve">US-023</t>
  </si>
  <si>
    <t xml:space="preserve">Afficher la page cadeau</t>
  </si>
  <si>
    <t xml:space="preserve">Bénéficiaire</t>
  </si>
  <si>
    <t xml:space="preserve">En tant que bénéficiaire, je veux ouvrir ma carte cadeau depuis un lien sans créer de compte afin de la découvrir et de savoir comment l'utiliser.</t>
  </si>
  <si>
    <t xml:space="preserve">GiftCardView : giftCardId, publicTokenHash, firstViewedAt, viewCount</t>
  </si>
  <si>
    <t xml:space="preserve">RG1. Lien /g/{token} avec un jeton aléatoire de 128 bits, non devinable ; page non indexée par les moteurs.
RG2. Affiche : design, valeur, partenaire, message, conditions, instructions, date d'expiration, code d'utilisation et QR code.
RG3. Statut à jour : utilisée (date), expirée, annulée.
RG4. N'affiche ni le prix payé, ni les coordonnées de l'acheteur.
RG5. Le lien vaut titre au porteur : quiconque le détient peut utiliser la carte (à communiquer, D-05).</t>
  </si>
  <si>
    <t xml:space="preserve">AC1. Étant donné un lien valide, alors la carte s'affiche dans la langue figée, avec le QR code.
AC2. Étant donné une carte utilisée, alors la page indique « utilisée le … » et masque le QR code.
AC3. Étant donné un jeton modifié d'un caractère, alors une page 404 générique s'affiche.
AC4. Étant donné le code source de la page, alors l'email et le téléphone de l'acheteur n'y figurent pas.</t>
  </si>
  <si>
    <t xml:space="preserve">D-05</t>
  </si>
  <si>
    <t xml:space="preserve">US-024</t>
  </si>
  <si>
    <t xml:space="preserve">Envoyer la carte par email</t>
  </si>
  <si>
    <t xml:space="preserve">En tant que système, je veux envoyer la carte au bénéficiaire par email afin qu'il la reçoive sans action de l'acheteur.</t>
  </si>
  <si>
    <t xml:space="preserve">Delivery : giftCardId, channel, destination, locale, status (PENDING | SENT | FAILED | BOUNCED), attempts, providerMessageId, sentAt, lastError</t>
  </si>
  <si>
    <t xml:space="preserve">RG1. Envoi asynchrone après émission, dans la langue du bénéficiaire (US-044).
RG2. 3 tentatives au maximum (après 1 min, 5 min, 30 min).
RG3. Un échec d'envoi ne révoque jamais la carte ; l'Admin est alerté après le dernier échec.
RG4. L'email contient le lien vers la page cadeau, pas le code en clair (D-15).
RG5. Domaine d'envoi authentifié (SPF, DKIM, DMARC).</t>
  </si>
  <si>
    <t xml:space="preserve">AC1. Étant donné une carte émise avec canal EMAIL, alors l'email part en moins de 2 min avec un lien fonctionnel.
AC2. Étant donné un échec temporaire, alors une nouvelle tentative est faite et attempts est incrémenté.
AC3. Étant donné 3 échecs, alors Delivery = FAILED, la carte reste ACTIVE et l'Admin voit l'alerte.</t>
  </si>
  <si>
    <t xml:space="preserve">US-022, US-044</t>
  </si>
  <si>
    <t xml:space="preserve">D-15</t>
  </si>
  <si>
    <t xml:space="preserve">US-025</t>
  </si>
  <si>
    <t xml:space="preserve">Partager la carte via WhatsApp</t>
  </si>
  <si>
    <t xml:space="preserve">En tant qu'acheteur, je veux envoyer la carte au bénéficiaire par WhatsApp afin d'utiliser le canal qu'il consulte le plus.</t>
  </si>
  <si>
    <t xml:space="preserve">Delivery : giftCardId, channel = WHATSAPP, locale, status (LINK_GENERATED | LINK_OPENED)</t>
  </si>
  <si>
    <t xml:space="preserve">RG1. MVP : bouton ouvrant WhatsApp (lien wa.me) avec un message prérempli dans la langue du bénéficiaire et le lien de la page cadeau.
RG2. Numéro du bénéficiaire prérempli s'il a été saisi.
RG3. Aucune preuve de réception : seule l'ouverture de la page cadeau est mesurée.
RG4. Bouton disponible sur la page de confirmation et dans l'email de confirmation d'achat.</t>
  </si>
  <si>
    <t xml:space="preserve">AC1. Étant donné le canal WHATSAPP, quand je clique sur « Envoyer par WhatsApp » sur mobile, alors WhatsApp s'ouvre avec le message et le lien.
AC2. Étant donné le bénéficiaire qui ouvre le lien, alors firstViewedAt est renseigné.</t>
  </si>
  <si>
    <t xml:space="preserve">D-07</t>
  </si>
  <si>
    <t xml:space="preserve">US-053</t>
  </si>
  <si>
    <t xml:space="preserve">Renvoyer une carte ou corriger le destinataire</t>
  </si>
  <si>
    <t xml:space="preserve">En tant qu'Admin KOADOOO, je veux renvoyer une carte ou corriger l'email du bénéficiaire afin de résoudre les cas de non-réception remontés au support.</t>
  </si>
  <si>
    <t xml:space="preserve">Delivery (nouvelle entrée) ; GiftRecipient : historique des corrections</t>
  </si>
  <si>
    <t xml:space="preserve">RG1. Renvoi possible sur le même canal à tout moment tant que la carte est ACTIVE.
RG2. Correction d'email possible seulement si la page cadeau n'a jamais été ouverte.
RG3. Une correction génère un nouveau lien et invalide l'ancien.
RG4. Montant, langue et message ne sont pas modifiables ; action journalisée.</t>
  </si>
  <si>
    <t xml:space="preserve">AC1. Étant donné une carte jamais ouverte, quand l'Admin corrige l'email, alors l'ancien lien renvoie une 404 et le nouveau fonctionne.
AC2. Étant donné une carte déjà ouverte, alors la correction est refusée et seul le renvoi est proposé.</t>
  </si>
  <si>
    <t xml:space="preserve">EP08</t>
  </si>
  <si>
    <t xml:space="preserve">Utilisation et contrôle</t>
  </si>
  <si>
    <t xml:space="preserve">US-026</t>
  </si>
  <si>
    <t xml:space="preserve">Vérifier une carte en caisse</t>
  </si>
  <si>
    <t xml:space="preserve">En tant que gestionnaire partenaire, je veux scanner ou saisir le code d'une carte afin de savoir si elle est valable avant de fournir la prestation.</t>
  </si>
  <si>
    <t xml:space="preserve">GiftCard : cardReference, partnerId, status, expiresAt, faceValue ; VerificationAttempt (US-052)</t>
  </si>
  <si>
    <t xml:space="preserve">RG1. Saisie manuelle du code ou scan du QR code depuis la caméra du téléphone (navigateur).
RG2. La carte doit appartenir au partenaire du gestionnaire ; sinon, même message que pour un code inconnu (aucune fuite d'information).
RG3. Affiche : statut, valeur, offre, date d'expiration, conditions, date d'utilisation si utilisée.
RG4. La vérification ne consomme pas la carte ; elle est journalisée.
RG5. L'expiration est contrôlée en temps réel (sans dépendre du traitement US-029).</t>
  </si>
  <si>
    <t xml:space="preserve">AC1. Étant donné une carte ACTIVE de mon partenaire, alors je vois sa valeur et le bouton « Valider l'utilisation ».
AC2. Étant donné une carte expirée ou déjà utilisée, alors le statut s'affiche et la validation est impossible.
AC3. Étant donné une carte d'un autre partenaire, alors le message est « code inconnu ».
AC4. Étant donné un QR code scanné, alors le résultat s'affiche en moins de 2 s.</t>
  </si>
  <si>
    <t xml:space="preserve">US-022, US-052</t>
  </si>
  <si>
    <t xml:space="preserve">US-027</t>
  </si>
  <si>
    <t xml:space="preserve">Valider l'utilisation d'une carte</t>
  </si>
  <si>
    <t xml:space="preserve">En tant que gestionnaire partenaire, je veux valider l'utilisation d'une carte après avoir fourni la prestation afin qu'elle ne puisse plus être réutilisée.</t>
  </si>
  <si>
    <t xml:space="preserve">Redemption : id, giftCardId (unique), partnerId, performedBy, redeemedAt ; GiftCard : status REDEEMED</t>
  </si>
  <si>
    <t xml:space="preserve">RG1. Confirmation explicite après la vérification (écran récapitulatif + bouton).
RG2. Opération atomique : la carte passe REDEEMED seulement si elle est encore ACTIVE et non expirée ; contrainte unique sur giftCardId.
RG3. Utilisation intégrale : pas de solde résiduel au MVP.
RG4. Irréversible par le partenaire ; toute annulation passe par l'Admin.
RG5. Déclenche la notification US-037.</t>
  </si>
  <si>
    <t xml:space="preserve">AC1. Étant donné deux validations simultanées de la même carte, alors une seule réussit et l'autre affiche « déjà utilisée le … ».
AC2. Étant donné une carte validée, alors son statut est REDEEMED et une Redemption est créée avec le gestionnaire et l'heure.
AC3. Étant donné une carte qui expire entre la vérification et la validation, alors la validation est refusée.</t>
  </si>
  <si>
    <t xml:space="preserve">US-028</t>
  </si>
  <si>
    <t xml:space="preserve">Consulter l'historique des utilisations</t>
  </si>
  <si>
    <t xml:space="preserve">En tant que gestionnaire partenaire, je veux retrouver les cartes utilisées dans mon établissement afin de répondre aux réclamations et de suivre l'activité.</t>
  </si>
  <si>
    <t xml:space="preserve">Redemption : giftCardId, cardReference, redeemedAt, performedBy, faceValue</t>
  </si>
  <si>
    <t xml:space="preserve">RG1. Lecture limitée au partenaire connecté.
RG2. Filtres : période, référence de carte, gestionnaire.
RG3. Aucune suppression ni modification possible.
RG4. Export via US-032.</t>
  </si>
  <si>
    <t xml:space="preserve">AC1. Étant donné une référence de carte, alors je retrouve son utilisation avec la date et le gestionnaire.
AC2. Étant donné un filtre sur le mois en cours, alors seules les utilisations du mois s'affichent.</t>
  </si>
  <si>
    <t xml:space="preserve">US-029</t>
  </si>
  <si>
    <t xml:space="preserve">Expirer les cartes arrivées à échéance</t>
  </si>
  <si>
    <t xml:space="preserve">En tant que système, je veux passer automatiquement les cartes échues au statut EXPIRED afin que les statuts et les KPI reflètent la réalité.</t>
  </si>
  <si>
    <t xml:space="preserve">GiftCard : expiresAt, status EXPIRED, expiredAt</t>
  </si>
  <si>
    <t xml:space="preserve">RG1. Traitement horaire : ACTIVE avec expiresAt dépassé → EXPIRED.
RG2. Le refus d'utilisation après échéance est garanti par US-026 / US-027, même si le traitement n'est pas encore passé.
RG3. Le sort des fonds des cartes expirées est défini par D-08.
RG4. Option post-MVP : rappel au bénéficiaire 7 jours avant expiration.</t>
  </si>
  <si>
    <t xml:space="preserve">AC1. Étant donné une carte échue depuis hier, après le traitement, alors son statut est EXPIRED.
AC2. Étant donné une carte échue depuis 5 min, quand un gestionnaire la vérifie, alors elle est affichée comme expirée.</t>
  </si>
  <si>
    <t xml:space="preserve">US-022
Persona corrigé (v1.0 : Partenaire) : c'est un traitement système.</t>
  </si>
  <si>
    <t xml:space="preserve">D-08</t>
  </si>
  <si>
    <t xml:space="preserve">US-051</t>
  </si>
  <si>
    <t xml:space="preserve">Bloquer ou annuler une carte</t>
  </si>
  <si>
    <t xml:space="preserve">En tant qu'Admin KOADOOO, je veux bloquer ou annuler une carte afin de réagir à une fraude ou à un remboursement.</t>
  </si>
  <si>
    <t xml:space="preserve">GiftCard : status BLOCKED | CANCELLED, statusReason, statusChangedBy, statusChangedAt</t>
  </si>
  <si>
    <t xml:space="preserve">RG1. BLOCKED (suspicion de fraude) est réversible ; CANCELLED (remboursement) est définitif.
RG2. Motif obligatoire ; action journalisée.
RG3. Une carte REDEEMED ne peut être ni bloquée ni annulée.
RG4. La page cadeau affiche « carte indisponible, contactez le support ».</t>
  </si>
  <si>
    <t xml:space="preserve">AC1. Étant donné une carte BLOCKED, quand un gestionnaire la vérifie, alors la validation est impossible.
AC2. Étant donné une carte débloquée, alors elle redevient utilisable jusqu'à son expiration.</t>
  </si>
  <si>
    <t xml:space="preserve">US-052</t>
  </si>
  <si>
    <t xml:space="preserve">Protéger les codes contre la force brute</t>
  </si>
  <si>
    <t xml:space="preserve">En tant que système, je veux limiter les tentatives de vérification afin d'empêcher la découverte de codes valides par essais successifs.</t>
  </si>
  <si>
    <t xml:space="preserve">VerificationAttempt : userId, partnerId, success, ip, occurredAt</t>
  </si>
  <si>
    <t xml:space="preserve">RG1. 10 échecs en 15 min par gestionnaire, ou 30 par partenaire, bloquent la vérification 15 min.
RG2. Alerte Admin en cas de blocage.
RG3. Limitation équivalente sur l'accès aux pages cadeau (par IP).
RG4. Code d'utilisation d'au moins 50 bits d'entropie (US-022).</t>
  </si>
  <si>
    <t xml:space="preserve">AC1. Étant donné 10 codes invalides en 15 min, alors la 11e tentative est refusée pendant 15 min et l'Admin est alerté.
AC2. Étant donné le journal, alors chaque tentative est tracée sans le code saisi en clair.</t>
  </si>
  <si>
    <t xml:space="preserve">EP09</t>
  </si>
  <si>
    <t xml:space="preserve">BI et reporting</t>
  </si>
  <si>
    <t xml:space="preserve">US-030</t>
  </si>
  <si>
    <t xml:space="preserve">Tableau de bord Admin</t>
  </si>
  <si>
    <t xml:space="preserve">En tant qu'Admin KOADOOO, je veux suivre les ventes, utilisations et commissions de la plateforme afin de piloter l'activité et les reversements.</t>
  </si>
  <si>
    <t xml:space="preserve">KPI : GMV brute et nette, commandes payées, cartes émises, utilisées, actives, expirées, taux d'utilisation, commission, montant dû et reversé aux partenaires</t>
  </si>
  <si>
    <t xml:space="preserve">RG1. Ventes = paiements CONFIRMED ; ventes nettes = ventes − remboursements.
RG2. Utilisations = Redemption ; commission = FinancialTransaction.
RG3. Filtres : période (heure du Maroc) et partenaire.
RG4. Données à jour avec moins de 15 min de décalage.
RG5. Chaque KPI a une définition affichée (info-bulle).</t>
  </si>
  <si>
    <t xml:space="preserve">AC1. Étant donné une période, alors le total des ventes est égal à la somme des montants de l'export US-032 sur la même période.
AC2. Étant donné un filtre partenaire, alors tous les KPI se limitent à ce partenaire.
AC3. Étant donné une commande EXPIRED ou un paiement FAILED, alors ils ne comptent pas dans les ventes.</t>
  </si>
  <si>
    <t xml:space="preserve">US-020, US-027
Repassée P1 : le suivi unitaire US-034 suffit au pilote ; à remonter en P0 si le pilote exige des KPI.</t>
  </si>
  <si>
    <t xml:space="preserve">US-031</t>
  </si>
  <si>
    <t xml:space="preserve">Tableau de bord partenaire</t>
  </si>
  <si>
    <t xml:space="preserve">En tant que gestionnaire partenaire, je veux suivre mes ventes, mes utilisations et ce qui m'est dû afin de piloter mon activité cadeaux.</t>
  </si>
  <si>
    <t xml:space="preserve">KPI : ventes, cartes émises, utilisées, actives (encours), expirées, commission, net dû, net reversé, top offres</t>
  </si>
  <si>
    <t xml:space="preserve">RG1. Données limitées au partenaire connecté.
RG2. Montants dus et montants reversés présentés séparément.
RG3. Mêmes définitions que US-030.</t>
  </si>
  <si>
    <t xml:space="preserve">AC1. Étant donné un gestionnaire, alors aucun chiffre d'un autre partenaire n'est accessible, y compris via l'API.
AC2. Étant donné une carte vendue puis utilisée, alors elle compte dans « émises » et « utilisées ».</t>
  </si>
  <si>
    <t xml:space="preserve">US-030
Persona corrigé (v1.0 : Admin / Partenaire).</t>
  </si>
  <si>
    <t xml:space="preserve">US-032</t>
  </si>
  <si>
    <t xml:space="preserve">Exporter les données en CSV</t>
  </si>
  <si>
    <t xml:space="preserve">En tant qu'Admin ou gestionnaire partenaire, je veux exporter ventes, utilisations et commissions en CSV afin de les rapprocher dans ma comptabilité.</t>
  </si>
  <si>
    <t xml:space="preserve">Export : orderReference, cardReference, offre, partenaire, paidAt, grossAmount, commissionAmount, partnerAmount, cardStatus, redeemedAt, settlementId</t>
  </si>
  <si>
    <t xml:space="preserve">RG1. CSV UTF-8 avec BOM (lisible dans Excel, y compris en arabe), séparateur point-virgule.
RG2. Dates ISO 8601 avec fuseau ; montants avec point décimal.
RG3. Filtre période obligatoire ; 100 000 lignes maximum.
RG4. Contrôle tenant : un gestionnaire n'exporte que son partenaire.
RG5. Pas de données personnelles du bénéficiaire dans l'export partenaire.</t>
  </si>
  <si>
    <t xml:space="preserve">AC1. Étant donné un export du mois, alors la somme des montants est égale au KPI ventes du dashboard sur le même mois.
AC2. Étant donné un fichier ouvert dans Excel, alors les caractères arabes s'affichent correctement.</t>
  </si>
  <si>
    <t xml:space="preserve">US-030, US-031</t>
  </si>
  <si>
    <t xml:space="preserve">US-054</t>
  </si>
  <si>
    <t xml:space="preserve">Consulter les ventes de mon partenaire</t>
  </si>
  <si>
    <t xml:space="preserve">En tant que gestionnaire partenaire, je veux voir la liste des cartes vendues afin de suivre chaque vente et d'anticiper les visites.</t>
  </si>
  <si>
    <t xml:space="preserve">Liste : orderReference, cardReference, offre, paidAt, faceValue, cardStatus, expiresAt</t>
  </si>
  <si>
    <t xml:space="preserve">RG1. Données limitées au partenaire connecté.
RG2. Coordonnées acheteur et bénéficiaire masquées (ex. a***@gmail.com).
RG3. Filtres : période, offre, statut de carte.</t>
  </si>
  <si>
    <t xml:space="preserve">AC1. Étant donné une vente confirmée, alors elle apparaît dans la liste en moins d'une minute.
AC2. Étant donné la liste, alors aucun email complet n'est visible.</t>
  </si>
  <si>
    <t xml:space="preserve">EP10</t>
  </si>
  <si>
    <t xml:space="preserve">Administration</t>
  </si>
  <si>
    <t xml:space="preserve">US-033</t>
  </si>
  <si>
    <t xml:space="preserve">Superviser partenaires et offres</t>
  </si>
  <si>
    <t xml:space="preserve">En tant qu'Admin KOADOOO, je veux une vue consolidée de tous les partenaires et de leurs offres afin de contrôler la qualité de la plateforme.</t>
  </si>
  <si>
    <t xml:space="preserve">Partner / Offer : id, status, city, updatedAt</t>
  </si>
  <si>
    <t xml:space="preserve">RG1. Recherche et filtres (statut, ville) réservés à l'Admin.
RG2. Consultation en lecture des offres de tous les partenaires.
RG3. L'Admin peut dépublier une offre (modération) avec un motif ; action journalisée.</t>
  </si>
  <si>
    <t xml:space="preserve">AC1. Étant donné un filtre « partenaires actifs à Casablanca », alors seuls ceux-ci s'affichent.
AC2. Étant donné une offre non conforme, quand l'Admin la dépublie avec un motif, alors elle n'est plus achetable et le partenaire voit le motif.</t>
  </si>
  <si>
    <t xml:space="preserve">US-004, US-009</t>
  </si>
  <si>
    <t xml:space="preserve">US-034</t>
  </si>
  <si>
    <t xml:space="preserve">Suivre commandes et paiements</t>
  </si>
  <si>
    <t xml:space="preserve">En tant qu'Admin KOADOOO, je veux retrouver n'importe quelle commande et son historique complet afin de répondre au support et de tracer chaque vente.</t>
  </si>
  <si>
    <t xml:space="preserve">Order / Payment / GiftCard / Delivery / Redemption : reference, status, providerTransactionId</t>
  </si>
  <si>
    <t xml:space="preserve">RG1. Recherche par référence de commande ou de carte, email acheteur, providerTransactionId.
RG2. Chronologie : commande → paiements → transaction → carte → envois → utilisation (à partir de AuditEvent).
RG3. Aucune modification manuelle d'un paiement confirmé.</t>
  </si>
  <si>
    <t xml:space="preserve">AC1. Étant donné une référence de carte, alors l'Admin voit toute la chronologie de la commande à l'utilisation.
AC2. Étant donné un paiement confirmé, alors aucun bouton ne permet d'en changer le statut ou le montant.</t>
  </si>
  <si>
    <t xml:space="preserve">US-038, US-022</t>
  </si>
  <si>
    <t xml:space="preserve">US-035</t>
  </si>
  <si>
    <t xml:space="preserve">Suspendre un partenaire</t>
  </si>
  <si>
    <t xml:space="preserve">En tant qu'Admin KOADOOO, je veux suspendre un partenaire afin d'arrêter immédiatement ses ventes en cas de litige ou de non-conformité.</t>
  </si>
  <si>
    <t xml:space="preserve">Partner : status SUSPENDED, suspensionReason, suspendedAt, suspendedBy</t>
  </si>
  <si>
    <t xml:space="preserve">RG1. Motif obligatoire ; action journalisée.
RG2. Effet immédiat : aucune offre achetable, ni par le catalogue ni par lien direct.
RG3. Une commande en attente payée après la suspension est remboursée (US-048, US-050).
RG4. Hypothèse D-09 : les cartes ACTIVE restent utilisables ; le partenaire garde l'accès à la vérification et à la validation.
RG5. Réactivation possible par l'Admin.</t>
  </si>
  <si>
    <t xml:space="preserve">AC1. Étant donné un partenaire suspendu, quand un visiteur ouvre le lien d'une de ses offres, alors l'achat est impossible.
AC2. Étant donné une carte ACTIVE de ce partenaire, alors elle peut toujours être validée (selon D-09).</t>
  </si>
  <si>
    <t xml:space="preserve">D-09</t>
  </si>
  <si>
    <t xml:space="preserve">US-058</t>
  </si>
  <si>
    <t xml:space="preserve">Paramétrer les règles de la plateforme</t>
  </si>
  <si>
    <t xml:space="preserve">En tant qu'Admin KOADOOO, je veux ajuster certains paramètres métier sans déploiement afin d'adapter la plateforme rapidement.</t>
  </si>
  <si>
    <t xml:space="preserve">PlatformSetting : key, value, updatedBy, updatedAt</t>
  </si>
  <si>
    <t xml:space="preserve">RG1. Paramètres : durée d'attente de paiement, bornes de montant et de validité, longueur du message, tentatives d'envoi, seuils anti-fraude, mode d'approbation des offres.
RG2. Chaque modification est journalisée ; valeurs bornées.</t>
  </si>
  <si>
    <t xml:space="preserve">AC1. Étant donné une durée d'attente passée à 20 min, alors les nouvelles commandes expirent après 20 min.</t>
  </si>
  <si>
    <t xml:space="preserve">EP11</t>
  </si>
  <si>
    <t xml:space="preserve">Notifications et audit</t>
  </si>
  <si>
    <t xml:space="preserve">US-036</t>
  </si>
  <si>
    <t xml:space="preserve">Confirmer l'achat à l'acheteur</t>
  </si>
  <si>
    <t xml:space="preserve">En tant qu'acheteur, je veux recevoir une confirmation de mon achat afin d'avoir la preuve de mon paiement et un moyen de suivre l'envoi.</t>
  </si>
  <si>
    <t xml:space="preserve">Notification : orderId, eventType = ORDER_PAID, recipient, locale, status</t>
  </si>
  <si>
    <t xml:space="preserve">RG1. Envoyée après paiement confirmé, dans la langue de l'acheteur.
RG2. Contenu : référence, offre, montant payé, bénéficiaire, canal, bouton WhatsApp si ce canal est choisi.
RG3. Une seule notification par événement (idempotence sur l'identifiant d'événement).
RG4. Reçu simple ; facture fiscale selon D-02.</t>
  </si>
  <si>
    <t xml:space="preserve">AC1. Étant donné un paiement confirmé, alors l'acheteur reçoit un seul email avec la référence et le montant.
AC2. Étant donné deux notifications PSP, alors un seul email est envoyé.</t>
  </si>
  <si>
    <t xml:space="preserve">US-018, US-044
Déplacée du Lot 5 au Lot 4 : fait partie du parcours nominal.</t>
  </si>
  <si>
    <t xml:space="preserve">US-037</t>
  </si>
  <si>
    <t xml:space="preserve">Notifier l'utilisation</t>
  </si>
  <si>
    <t xml:space="preserve">En tant qu'acheteur, je veux être prévenu quand mon cadeau est utilisé afin de savoir qu'il a fait plaisir.</t>
  </si>
  <si>
    <t xml:space="preserve">Notification : giftCardId, eventType = CARD_REDEEMED, recipient, locale ; Order : notifyOnRedemption</t>
  </si>
  <si>
    <t xml:space="preserve">RG1. Envoyée à l'acheteur s'il l'a accepté au moment de l'achat (case cochée par défaut, D-13).
RG2. Un échec d'envoi n'annule jamais l'utilisation.
RG3. Le gestionnaire voit une confirmation à l'écran (pas d'email).</t>
  </si>
  <si>
    <t xml:space="preserve">AC1. Étant donné une carte utilisée et l'option acceptée, alors l'acheteur reçoit un email dans sa langue.
AC2. Étant donné une panne du service email, alors l'utilisation reste enregistrée.</t>
  </si>
  <si>
    <t xml:space="preserve">US-027, US-044
Destinataire de la notification précisé (absent en v1.0).</t>
  </si>
  <si>
    <t xml:space="preserve">D-13</t>
  </si>
  <si>
    <t xml:space="preserve">US-038</t>
  </si>
  <si>
    <t xml:space="preserve">Journaliser les événements métier</t>
  </si>
  <si>
    <t xml:space="preserve">En tant qu'Admin KOADOOO, je veux un journal immuable des actions et événements métier afin de reconstituer l'histoire de chaque carte et de chaque montant.</t>
  </si>
  <si>
    <t xml:space="preserve">AuditEvent : id, entityType, entityId, eventType, actorType (USER | SYSTEM | PSP), actorId, partnerId, changes, ip, correlationId, occurredAt</t>
  </si>
  <si>
    <t xml:space="preserve">RG1. Écriture seule : aucune modification ni suppression (droits base de données).
RG2. Jamais de secrets : mots de passe, codes d'utilisation, jetons, données bancaires.
RG3. Événements minimaux : connexion, création / modification partenaire, taux, offre, publication, commande, paiement, émission, envoi, vérification, utilisation, remboursement, reversement, suspension.
RG4. Durée de conservation à valider avec le juridique (obligations comptables, D-10).</t>
  </si>
  <si>
    <t xml:space="preserve">AC1. Étant donné une carte, alors l'Admin reconstitue sa chronologie complète de la commande à l'utilisation.
AC2. Étant donné une recherche du code d'utilisation dans le journal, alors il est introuvable.</t>
  </si>
  <si>
    <t xml:space="preserve">Déplacée du Lot 5 au Lot 1 : toutes les US doivent journaliser dès le début.</t>
  </si>
  <si>
    <t xml:space="preserve">EP12</t>
  </si>
  <si>
    <t xml:space="preserve">US-039</t>
  </si>
  <si>
    <t xml:space="preserve">Configurer les langues</t>
  </si>
  <si>
    <t xml:space="preserve">En tant qu'Admin KOADOOO, je veux gérer la liste des langues disponibles afin de contrôler les langues proposées sur la plateforme.</t>
  </si>
  <si>
    <t xml:space="preserve">Language : code, nativeName, direction (LTR | RTL), isActive, isDefault</t>
  </si>
  <si>
    <t xml:space="preserve">RG1. Codes uniques ; une seule langue par défaut (fr-MA).
RG2. Initialisation : fr-MA (LTR, défaut), ar-MA (RTL), en (LTR).
RG3. Désactiver une langue n'efface aucune traduction.</t>
  </si>
  <si>
    <t xml:space="preserve">AC1. Étant donné l'écran des langues, alors fr-MA, ar-MA et en sont présentes et actives.
AC2. Étant donné une tentative de désactiver la langue par défaut, alors elle est refusée.</t>
  </si>
  <si>
    <t xml:space="preserve">Persona corrigé (v1.0 : Tous / Partenaire / Système).</t>
  </si>
  <si>
    <t xml:space="preserve">US-040</t>
  </si>
  <si>
    <t xml:space="preserve">Changer la langue de l'interface</t>
  </si>
  <si>
    <t xml:space="preserve">Tous</t>
  </si>
  <si>
    <t xml:space="preserve">En tant qu'utilisateur (visiteur, acheteur ou gestionnaire), je veux choisir ma langue afin d'utiliser KOADOOO dans la langue que je maîtrise.</t>
  </si>
  <si>
    <t xml:space="preserve">UserPreference : userId, preferredLocale ; cookie locale (visiteur)</t>
  </si>
  <si>
    <t xml:space="preserve">RG1. Ordre de résolution : choix explicite (préférence ou cookie) &gt; préfixe d'URL (/fr, /ar, /en) &gt; langue du navigateur &gt; fr-MA.
RG2. Préférence enregistrée pour les utilisateurs connectés.
RG3. URLs publiques localisées pour le partage et le référencement.</t>
  </si>
  <si>
    <r>
      <rPr>
        <sz val="11"/>
        <rFont val="Calibri"/>
        <family val="0"/>
        <charset val="1"/>
      </rPr>
      <t xml:space="preserve">AC1. Étant donné un navigateur en anglais et un choix explicite « </t>
    </r>
    <r>
      <rPr>
        <sz val="11"/>
        <rFont val="FreeSans"/>
        <family val="2"/>
      </rPr>
      <t xml:space="preserve">العربية </t>
    </r>
    <r>
      <rPr>
        <sz val="11"/>
        <rFont val="Calibri"/>
        <family val="0"/>
        <charset val="1"/>
      </rPr>
      <t xml:space="preserve">», alors l'interface reste en arabe sur toutes les pages.
AC2. Étant donné un gestionnaire qui choisit l'anglais, alors il retrouve l'anglais à sa prochaine connexion.</t>
    </r>
  </si>
  <si>
    <t xml:space="preserve">US-041</t>
  </si>
  <si>
    <t xml:space="preserve">Traduire une offre</t>
  </si>
  <si>
    <t xml:space="preserve">En tant que gestionnaire partenaire, je veux saisir les textes de mon offre en français, arabe et anglais afin de toucher tous mes clients.</t>
  </si>
  <si>
    <t xml:space="preserve">OfferTranslation : offerId, locale, title, description, termsAndConditions, redemptionInstructions</t>
  </si>
  <si>
    <t xml:space="preserve">RG1. Unique par (offerId, locale).
RG2. fr-MA complète obligatoire pour publier ; ar-MA et en facultatives.
RG3. Montants, durée et design ne sont pas traduisibles (invariants).
RG4. Indicateur de complétude par langue.</t>
  </si>
  <si>
    <t xml:space="preserve">AC1. Étant donné une offre avec fr-MA et ar-MA, alors elle s'affiche en arabe pour un visiteur en arabe et en français pour un visiteur en anglais.
AC2. Étant donné une traduction ar-MA, alors le formulaire de saisie est en RTL.</t>
  </si>
  <si>
    <t xml:space="preserve">US-007, US-045</t>
  </si>
  <si>
    <t xml:space="preserve">US-042</t>
  </si>
  <si>
    <t xml:space="preserve">Traduire le profil partenaire</t>
  </si>
  <si>
    <t xml:space="preserve">En tant que gestionnaire partenaire, je veux traduire le nom affiché et la description de mon enseigne afin que mon profil soit compris dans chaque langue.</t>
  </si>
  <si>
    <t xml:space="preserve">PartnerTranslation : partnerId, locale, displayName, description, redemptionInstructions</t>
  </si>
  <si>
    <t xml:space="preserve">RG1. Unique par (partnerId, locale) ; fr-MA obligatoire.
RG2. Logo, ICE et coordonnées ne sont pas traduits.</t>
  </si>
  <si>
    <t xml:space="preserve">AC1. Étant donné un profil traduit en arabe, alors un visiteur en arabe voit le nom et la description arabes.</t>
  </si>
  <si>
    <t xml:space="preserve">US-006, US-045</t>
  </si>
  <si>
    <t xml:space="preserve">US-043</t>
  </si>
  <si>
    <t xml:space="preserve">Carte dans la langue du bénéficiaire</t>
  </si>
  <si>
    <t xml:space="preserve">En tant que bénéficiaire, je veux recevoir ma carte dans ma langue, même si l'acheteur en utilise une autre, afin de bien comprendre comment l'utiliser.</t>
  </si>
  <si>
    <t xml:space="preserve">GiftRecipient : recipientLocale ; GiftCard : issuedLocale, localizedContentSnapshot</t>
  </si>
  <si>
    <t xml:space="preserve">RG1. La langue de l'acheteur et celle du bénéficiaire sont indépendantes.
RG2. Le contenu de l'offre est figé dans la langue du bénéficiaire à l'émission (avec fallback US-045).
RG3. Le message personnel n'est pas traduit.</t>
  </si>
  <si>
    <t xml:space="preserve">AC1. Étant donné un acheteur en français et un bénéficiaire en arabe, alors la page et l'email cadeau sont en arabe (RTL), le message restant tel que saisi.
AC2. Étant donné une traduction modifiée après émission, alors la carte émise ne change pas.</t>
  </si>
  <si>
    <t xml:space="preserve">US-022, US-041</t>
  </si>
  <si>
    <t xml:space="preserve">US-044</t>
  </si>
  <si>
    <t xml:space="preserve">Modèles de notifications localisés</t>
  </si>
  <si>
    <t xml:space="preserve">En tant que système, je veux des modèles d'email par événement et par langue afin que chaque destinataire reçoive ses messages dans sa langue.</t>
  </si>
  <si>
    <t xml:space="preserve">NotificationTemplate : eventType, locale, subject, bodyHtml, bodyText, version</t>
  </si>
  <si>
    <t xml:space="preserve">RG1. Un modèle par (eventType, locale) ; fr-MA obligatoire, fallback US-045.
RG2. Achat → langue acheteur ; cadeau → langue bénéficiaire ; back-office → préférence utilisateur.
RG3. Variables échappées ; emails arabes en RTL.
RG4. Événements : invitation, réinitialisation, achat confirmé, carte cadeau, utilisation, remboursement.</t>
  </si>
  <si>
    <t xml:space="preserve">AC1. Étant donné un email cadeau en ar-MA, alors l'objet et le corps sont en arabe et le texte est aligné à droite.
AC2. Étant donné un nom d'acheteur contenant du HTML, alors il s'affiche comme du texte.</t>
  </si>
  <si>
    <t xml:space="preserve">US-039, US-045
Déplacée du Lot 4 au Lot 1 : US-002 et US-003 envoient des emails dès le Lot 1.</t>
  </si>
  <si>
    <t xml:space="preserve">US-045</t>
  </si>
  <si>
    <t xml:space="preserve">Repli sur une langue disponible</t>
  </si>
  <si>
    <t xml:space="preserve">En tant que système, je veux afficher la meilleure traduction disponible afin qu'un contenu manquant n'empêche jamais la consultation.</t>
  </si>
  <si>
    <t xml:space="preserve">Language : code, isDefault ; traductions : locale</t>
  </si>
  <si>
    <t xml:space="preserve">RG1. Ordre : langue demandée → variante de la même langue (ar → ar-MA) → fr-MA.
RG2. Les traductions manquantes sont journalisées pour suivi.</t>
  </si>
  <si>
    <t xml:space="preserve">AC1. Étant donné une offre sans traduction anglaise, quand un visiteur l'ouvre en anglais, alors le contenu fr-MA s'affiche et l'interface reste en anglais.</t>
  </si>
  <si>
    <t xml:space="preserve">US-046</t>
  </si>
  <si>
    <t xml:space="preserve">Affichage arabe de droite à gauche</t>
  </si>
  <si>
    <t xml:space="preserve">En tant qu'utilisateur arabophone, je veux une interface entièrement adaptée à la lecture de droite à gauche afin de l'utiliser naturellement.</t>
  </si>
  <si>
    <t xml:space="preserve">Language : direction ; locale de l'interface</t>
  </si>
  <si>
    <t xml:space="preserve">RG1. ar-MA : attribut dir=rtl, mise en page en miroir (navigation, icônes directionnelles, formulaires).
RG2. Chiffres occidentaux (usage marocain) ; montants, dates, références, codes et numéros restent lisibles (isolation LTR).
RG3. S'applique aux pages publiques, au back-office, aux cartes et aux emails.</t>
  </si>
  <si>
    <t xml:space="preserve">AC1. Étant donné l'interface en arabe, alors toutes les pages du parcours nominal sont validées en RTL (recette visuelle).
AC2. Étant donné une référence KDO-7F3K-92QX dans une phrase arabe, alors elle s'affiche dans le bon ordre.</t>
  </si>
  <si>
    <t xml:space="preserve">US-039
Effort transverse : chaque US d'interface inclut sa recette RTL.</t>
  </si>
  <si>
    <t xml:space="preserve">EP13</t>
  </si>
  <si>
    <t xml:space="preserve">Conformité et protection des données</t>
  </si>
  <si>
    <t xml:space="preserve">US-056</t>
  </si>
  <si>
    <t xml:space="preserve">Informer et recueillir le consentement (loi 09-08)</t>
  </si>
  <si>
    <t xml:space="preserve">Acheteur ; Bénéficiaire</t>
  </si>
  <si>
    <t xml:space="preserve">En tant qu'acheteur, je veux savoir quelles données sont collectées et pourquoi afin d'acheter en confiance.</t>
  </si>
  <si>
    <t xml:space="preserve">LegalDocument (PRIVACY) ; Order : privacyNoticeVersion ; ConsentRecord : type, version, acceptedAt</t>
  </si>
  <si>
    <t xml:space="preserve">RG1. Politique de confidentialité en 3 langues, accessible depuis toutes les pages.
RG2. Information au moment de la collecte : finalités, destinataires, durée, droits, contact.
RG3. Le bénéficiaire est informé sur la page cadeau que ses coordonnées ont été fournies par l'acheteur.
RG4. Bandeau cookies si des cookies non essentiels sont utilisés.
RG5. Déclaration / autorisation CNDP à obtenir avant la mise en production (D-10).</t>
  </si>
  <si>
    <t xml:space="preserve">AC1. Étant donné le formulaire de commande, alors un lien vers la politique de confidentialité est visible près des champs personnels.
AC2. Étant donné la page cadeau, alors une mention indique l'origine des données et le lien vers la politique.</t>
  </si>
  <si>
    <t xml:space="preserve">US-060</t>
  </si>
  <si>
    <t xml:space="preserve">D-10</t>
  </si>
  <si>
    <t xml:space="preserve">US-057</t>
  </si>
  <si>
    <t xml:space="preserve">Conserver puis anonymiser les données</t>
  </si>
  <si>
    <t xml:space="preserve">En tant que système, je veux anonymiser les données personnelles au-delà de leur durée de conservation afin de respecter le principe de minimisation.</t>
  </si>
  <si>
    <t xml:space="preserve">Order / GiftRecipient / GiftPersonalization : anonymizedAt</t>
  </si>
  <si>
    <t xml:space="preserve">RG1. Durée à valider (D-10) ; proposition : 24 mois après expiration ou utilisation de la carte.
RG2. Les montants et écritures financières sont conservés ; seuls les noms, emails, téléphones et messages sont effacés.
RG3. Traitement journalisé.</t>
  </si>
  <si>
    <t xml:space="preserve">AC1. Étant donné une commande hors durée, après le traitement, alors ses données personnelles sont remplacées et les KPI restent identiques.</t>
  </si>
  <si>
    <t xml:space="preserve">Publier CGV et mentions légales</t>
  </si>
  <si>
    <t xml:space="preserve">En tant qu'Admin KOADOOO, je veux publier et versionner les CGV, les mentions légales et la politique de remboursement afin de vendre dans un cadre légal clair.</t>
  </si>
  <si>
    <t xml:space="preserve">LegalDocument : type (CGV | LEGAL | REFUND | PRIVACY), locale, version, content, publishedAt</t>
  </si>
  <si>
    <t xml:space="preserve">RG1. Documents en 3 langues, versionnés ; une seule version en vigueur par type.
RG2. La version des CGV acceptée est enregistrée sur chaque commande (US-017).
RG3. Souvent exigé par le PSP pour l'activation du compte marchand.</t>
  </si>
  <si>
    <t xml:space="preserve">AC1. Étant donné une nouvelle version des CGV, alors les nouvelles commandes enregistrent la nouvelle version et les anciennes gardent la leur.</t>
  </si>
  <si>
    <t xml:space="preserve">KOADOOO | Cycles de vie</t>
  </si>
  <si>
    <t xml:space="preserve">Statuts et transitions autorisées · toute transition absente est interdite · « — » = création</t>
  </si>
  <si>
    <t xml:space="preserve">Entité</t>
  </si>
  <si>
    <t xml:space="preserve">Statut de départ</t>
  </si>
  <si>
    <t xml:space="preserve">Statut d'arrivée</t>
  </si>
  <si>
    <t xml:space="preserve">Déclencheur</t>
  </si>
  <si>
    <t xml:space="preserve">Acteur</t>
  </si>
  <si>
    <t xml:space="preserve">Conditions / effets</t>
  </si>
  <si>
    <t xml:space="preserve">Partner</t>
  </si>
  <si>
    <t xml:space="preserve">—</t>
  </si>
  <si>
    <t xml:space="preserve">DRAFT</t>
  </si>
  <si>
    <t xml:space="preserve">Création de la fiche</t>
  </si>
  <si>
    <t xml:space="preserve">Admin</t>
  </si>
  <si>
    <t xml:space="preserve">ACTIVE</t>
  </si>
  <si>
    <t xml:space="preserve">Activation</t>
  </si>
  <si>
    <t xml:space="preserve">Prérequis : gestionnaire invité, taux actif, profil fr-MA, RIB (D-01).</t>
  </si>
  <si>
    <t xml:space="preserve">SUSPENDED</t>
  </si>
  <si>
    <t xml:space="preserve">Suspension</t>
  </si>
  <si>
    <t xml:space="preserve">Motif obligatoire ; offres non achetables ; cartes selon D-09 (US-035).</t>
  </si>
  <si>
    <t xml:space="preserve">Réactivation</t>
  </si>
  <si>
    <t xml:space="preserve">Les offres PUBLISHED redeviennent achetables.</t>
  </si>
  <si>
    <t xml:space="preserve">ACTIVE / SUSPENDED</t>
  </si>
  <si>
    <t xml:space="preserve">ARCHIVED</t>
  </si>
  <si>
    <t xml:space="preserve">Fin de contrat</t>
  </si>
  <si>
    <t xml:space="preserve">Post-MVP ; aucune carte ACTIVE restante.</t>
  </si>
  <si>
    <t xml:space="preserve">User</t>
  </si>
  <si>
    <t xml:space="preserve">INVITED</t>
  </si>
  <si>
    <t xml:space="preserve">Invitation</t>
  </si>
  <si>
    <t xml:space="preserve">Jeton valable 72 h (US-002).</t>
  </si>
  <si>
    <t xml:space="preserve">Acceptation de l'invitation</t>
  </si>
  <si>
    <t xml:space="preserve">Gestionnaire</t>
  </si>
  <si>
    <t xml:space="preserve">Définition du mot de passe.</t>
  </si>
  <si>
    <t xml:space="preserve">DISABLED</t>
  </si>
  <si>
    <t xml:space="preserve">Désactivation</t>
  </si>
  <si>
    <t xml:space="preserve">Sessions révoquées immédiatement.</t>
  </si>
  <si>
    <t xml:space="preserve">Offer</t>
  </si>
  <si>
    <t xml:space="preserve">Création</t>
  </si>
  <si>
    <t xml:space="preserve">DRAFT / UNPUBLISHED</t>
  </si>
  <si>
    <t xml:space="preserve">PUBLISHED</t>
  </si>
  <si>
    <t xml:space="preserve">Publication</t>
  </si>
  <si>
    <t xml:space="preserve">Offre complète, partenaire ACTIVE ; via PENDING_REVIEW si D-04 = approbation.</t>
  </si>
  <si>
    <t xml:space="preserve">PENDING_REVIEW</t>
  </si>
  <si>
    <t xml:space="preserve">Soumission</t>
  </si>
  <si>
    <t xml:space="preserve">Uniquement si approbation Admin (US-055).</t>
  </si>
  <si>
    <t xml:space="preserve">PUBLISHED / DRAFT</t>
  </si>
  <si>
    <t xml:space="preserve">Approbation / rejet</t>
  </si>
  <si>
    <t xml:space="preserve">Motif obligatoire en cas de rejet.</t>
  </si>
  <si>
    <t xml:space="preserve">UNPUBLISHED</t>
  </si>
  <si>
    <t xml:space="preserve">Dépublication</t>
  </si>
  <si>
    <t xml:space="preserve">Gestionnaire / Admin</t>
  </si>
  <si>
    <t xml:space="preserve">Plus de nouvelle commande ; commandes en attente honorées.</t>
  </si>
  <si>
    <t xml:space="preserve">Tout sauf PUBLISHED</t>
  </si>
  <si>
    <t xml:space="preserve">Archivage</t>
  </si>
  <si>
    <t xml:space="preserve">Terminal.</t>
  </si>
  <si>
    <t xml:space="preserve">Order</t>
  </si>
  <si>
    <t xml:space="preserve">PENDING_PAYMENT</t>
  </si>
  <si>
    <t xml:space="preserve">Validation du formulaire</t>
  </si>
  <si>
    <t xml:space="preserve">Snapshot prix / taux / conditions ; TTL 30 min.</t>
  </si>
  <si>
    <t xml:space="preserve">PAID</t>
  </si>
  <si>
    <t xml:space="preserve">Payment CONFIRMED</t>
  </si>
  <si>
    <t xml:space="preserve">Système (PSP)</t>
  </si>
  <si>
    <t xml:space="preserve">Même transaction DB que la confirmation ; déclenche l'émission.</t>
  </si>
  <si>
    <t xml:space="preserve">EXPIRED</t>
  </si>
  <si>
    <t xml:space="preserve">TTL dépassé</t>
  </si>
  <si>
    <t xml:space="preserve">US-048.</t>
  </si>
  <si>
    <t xml:space="preserve">Paiement confirmé tardif</t>
  </si>
  <si>
    <t xml:space="preserve">Système (PSP / rapprochement)</t>
  </si>
  <si>
    <t xml:space="preserve">Accepté ; remboursement si partenaire suspendu.</t>
  </si>
  <si>
    <t xml:space="preserve">REFUNDED</t>
  </si>
  <si>
    <t xml:space="preserve">Remboursement</t>
  </si>
  <si>
    <t xml:space="preserve">Carte non utilisée ; carte → CANCELLED (US-050).</t>
  </si>
  <si>
    <t xml:space="preserve">Payment</t>
  </si>
  <si>
    <t xml:space="preserve">INITIATED</t>
  </si>
  <si>
    <t xml:space="preserve">Redirection vers le PSP</t>
  </si>
  <si>
    <t xml:space="preserve">Plusieurs tentatives possibles par commande.</t>
  </si>
  <si>
    <t xml:space="preserve">CONFIRMED</t>
  </si>
  <si>
    <t xml:space="preserve">Notification signée valide</t>
  </si>
  <si>
    <t xml:space="preserve">PSP</t>
  </si>
  <si>
    <t xml:space="preserve">Montant et devise concordants ; idempotent.</t>
  </si>
  <si>
    <t xml:space="preserve">FAILED / CANCELLED</t>
  </si>
  <si>
    <t xml:space="preserve">Refus / abandon</t>
  </si>
  <si>
    <t xml:space="preserve">PSP / Acheteur</t>
  </si>
  <si>
    <t xml:space="preserve">Nouvelle tentative possible.</t>
  </si>
  <si>
    <t xml:space="preserve">US-050.</t>
  </si>
  <si>
    <t xml:space="preserve">GiftCard</t>
  </si>
  <si>
    <t xml:space="preserve">Une carte par commande (US-022).</t>
  </si>
  <si>
    <t xml:space="preserve">REDEEMED</t>
  </si>
  <si>
    <t xml:space="preserve">Validation de l'utilisation</t>
  </si>
  <si>
    <t xml:space="preserve">Atomique ; terminal (US-027).</t>
  </si>
  <si>
    <t xml:space="preserve">Échéance dépassée</t>
  </si>
  <si>
    <t xml:space="preserve">Terminal au MVP (US-029, D-08).</t>
  </si>
  <si>
    <t xml:space="preserve">BLOCKED</t>
  </si>
  <si>
    <t xml:space="preserve">Suspicion de fraude</t>
  </si>
  <si>
    <t xml:space="preserve">Réversible (US-051).</t>
  </si>
  <si>
    <t xml:space="preserve">Déblocage</t>
  </si>
  <si>
    <t xml:space="preserve">Si non expirée.</t>
  </si>
  <si>
    <t xml:space="preserve">ACTIVE / BLOCKED</t>
  </si>
  <si>
    <t xml:space="preserve">CANCELLED</t>
  </si>
  <si>
    <t xml:space="preserve">Terminal (US-050).</t>
  </si>
  <si>
    <t xml:space="preserve">Delivery (email)</t>
  </si>
  <si>
    <t xml:space="preserve">PENDING</t>
  </si>
  <si>
    <t xml:space="preserve">Émission de la carte</t>
  </si>
  <si>
    <t xml:space="preserve">US-024.</t>
  </si>
  <si>
    <t xml:space="preserve">SENT</t>
  </si>
  <si>
    <t xml:space="preserve">Accepté par le service email</t>
  </si>
  <si>
    <t xml:space="preserve">FAILED</t>
  </si>
  <si>
    <t xml:space="preserve">3 échecs</t>
  </si>
  <si>
    <t xml:space="preserve">Carte inchangée ; alerte Admin.</t>
  </si>
  <si>
    <t xml:space="preserve">BOUNCED</t>
  </si>
  <si>
    <t xml:space="preserve">Retour de non-distribution</t>
  </si>
  <si>
    <t xml:space="preserve">Service email</t>
  </si>
  <si>
    <t xml:space="preserve">Alerte support (US-053).</t>
  </si>
  <si>
    <t xml:space="preserve">Delivery (WhatsApp)</t>
  </si>
  <si>
    <t xml:space="preserve">LINK_GENERATED</t>
  </si>
  <si>
    <t xml:space="preserve">Affichage du bouton</t>
  </si>
  <si>
    <t xml:space="preserve">US-025.</t>
  </si>
  <si>
    <t xml:space="preserve">LINK_OPENED</t>
  </si>
  <si>
    <t xml:space="preserve">Première ouverture de la page cadeau</t>
  </si>
  <si>
    <t xml:space="preserve">Pas de preuve de réception.</t>
  </si>
  <si>
    <t xml:space="preserve">FinancialTransaction</t>
  </si>
  <si>
    <t xml:space="preserve">RECORDED</t>
  </si>
  <si>
    <t xml:space="preserve">Paiement confirmé</t>
  </si>
  <si>
    <t xml:space="preserve">Type SALE (US-020).</t>
  </si>
  <si>
    <t xml:space="preserve">SETTLED</t>
  </si>
  <si>
    <t xml:space="preserve">Reversement PAID</t>
  </si>
  <si>
    <t xml:space="preserve">US-021.</t>
  </si>
  <si>
    <t xml:space="preserve">REVERSED</t>
  </si>
  <si>
    <t xml:space="preserve">Remboursement avant reversement</t>
  </si>
  <si>
    <t xml:space="preserve">Écriture REFUND associée.</t>
  </si>
  <si>
    <t xml:space="preserve">PartnerSettlement</t>
  </si>
  <si>
    <t xml:space="preserve">Génération pour une période</t>
  </si>
  <si>
    <t xml:space="preserve">VALIDATED</t>
  </si>
  <si>
    <t xml:space="preserve">Validation des montants</t>
  </si>
  <si>
    <t xml:space="preserve">Virement effectué</t>
  </si>
  <si>
    <t xml:space="preserve">Référence et date obligatoires.</t>
  </si>
  <si>
    <t xml:space="preserve">DRAFT / VALIDATED</t>
  </si>
  <si>
    <t xml:space="preserve">Annulation</t>
  </si>
  <si>
    <t xml:space="preserve">Transactions libérées.</t>
  </si>
  <si>
    <t xml:space="preserve">KOADOOO | Modèle de données consolidé</t>
  </si>
  <si>
    <t xml:space="preserve">Montants : décimal (12,2) en MAD · horodatages en UTC · identifiants non séquentiels pour tout ce qui est exposé publiquement</t>
  </si>
  <si>
    <t xml:space="preserve">Attributs clés</t>
  </si>
  <si>
    <t xml:space="preserve">Relations</t>
  </si>
  <si>
    <t xml:space="preserve">Contraintes / index</t>
  </si>
  <si>
    <t xml:space="preserve">Écart avec la v1.0</t>
  </si>
  <si>
    <t xml:space="preserve">Language</t>
  </si>
  <si>
    <t xml:space="preserve">code, nativeName, direction, isActive, isDefault</t>
  </si>
  <si>
    <t xml:space="preserve">Référentiel</t>
  </si>
  <si>
    <t xml:space="preserve">PK code ; une seule ligne isDefault</t>
  </si>
  <si>
    <t xml:space="preserve">Inchangé</t>
  </si>
  <si>
    <t xml:space="preserve">id, email, passwordHash, role, partnerId, status, firstName, lastName, failedLoginCount, lockedUntil, lastLoginAt, mfaSecretEncrypted</t>
  </si>
  <si>
    <t xml:space="preserve">N:1 Partner (null si ADMIN) ; 1:1 UserPreference</t>
  </si>
  <si>
    <t xml:space="preserve">email unique (insensible à la casse)</t>
  </si>
  <si>
    <t xml:space="preserve">Complété (statut, verrouillage, MFA)</t>
  </si>
  <si>
    <t xml:space="preserve">UserPreference</t>
  </si>
  <si>
    <t xml:space="preserve">userId, preferredLocale</t>
  </si>
  <si>
    <t xml:space="preserve">1:1 User</t>
  </si>
  <si>
    <t xml:space="preserve">PK userId</t>
  </si>
  <si>
    <t xml:space="preserve">id, userId, tokenHash, expiresAt, acceptedAt</t>
  </si>
  <si>
    <t xml:space="preserve">N:1 User</t>
  </si>
  <si>
    <t xml:space="preserve">tokenHash unique</t>
  </si>
  <si>
    <t xml:space="preserve">Nouveau (US-002)</t>
  </si>
  <si>
    <t xml:space="preserve">PasswordResetToken</t>
  </si>
  <si>
    <t xml:space="preserve">id, userId, tokenHash, expiresAt, usedAt</t>
  </si>
  <si>
    <t xml:space="preserve">Ajouté au modèle (cité en US-003)</t>
  </si>
  <si>
    <t xml:space="preserve">id, legalName, tradeName, ICE, contactName, contactEmail, phone, city, address, bankRib (chiffré), status, activatedAt, suspensionReason, suspendedAt</t>
  </si>
  <si>
    <t xml:space="preserve">1:N User, Offer, PartnerCommission, PartnerTranslation ; 1:1 PartnerProfile</t>
  </si>
  <si>
    <t xml:space="preserve">ICE unique</t>
  </si>
  <si>
    <t xml:space="preserve">Complété (contact, RIB, suspension)</t>
  </si>
  <si>
    <t xml:space="preserve">PartnerProfile</t>
  </si>
  <si>
    <t xml:space="preserve">partnerId, publicSlug, logoAssetId, bannerAssetId, websiteUrl, instagramUrl, city</t>
  </si>
  <si>
    <t xml:space="preserve">1:1 Partner</t>
  </si>
  <si>
    <t xml:space="preserve">publicSlug unique</t>
  </si>
  <si>
    <t xml:space="preserve">Ajouté au modèle (cité en US-006)</t>
  </si>
  <si>
    <t xml:space="preserve">PartnerTranslation</t>
  </si>
  <si>
    <t xml:space="preserve">partnerId, locale, displayName, description, redemptionInstructions</t>
  </si>
  <si>
    <t xml:space="preserve">N:1 Partner</t>
  </si>
  <si>
    <t xml:space="preserve">PK (partnerId, locale)</t>
  </si>
  <si>
    <t xml:space="preserve">PartnerCommission</t>
  </si>
  <si>
    <t xml:space="preserve">id, partnerId, rate, effectiveFrom, effectiveTo, contractReference, createdBy</t>
  </si>
  <si>
    <t xml:space="preserve">pas de chevauchement de périodes ; 3 ≤ rate ≤ 10</t>
  </si>
  <si>
    <t xml:space="preserve">Ajouté au modèle (cité en US-005)</t>
  </si>
  <si>
    <t xml:space="preserve">MediaAsset</t>
  </si>
  <si>
    <t xml:space="preserve">id, partnerId, type, mimeType, sizeBytes, width, height, storageKey</t>
  </si>
  <si>
    <t xml:space="preserve">Nouveau (US-059)</t>
  </si>
  <si>
    <t xml:space="preserve">id, partnerId, faceValue, salePrice, currency, validityDays, status, version, publishedAt, unpublishedAt</t>
  </si>
  <si>
    <t xml:space="preserve">N:1 Partner ; 1:N OfferTranslation ; 1:1 CardTemplate ; 1:N Order</t>
  </si>
  <si>
    <t xml:space="preserve">salePrice ≤ faceValue ; montants &gt; 0</t>
  </si>
  <si>
    <t xml:space="preserve">Complété (version, dates)</t>
  </si>
  <si>
    <t xml:space="preserve">OfferTranslation</t>
  </si>
  <si>
    <t xml:space="preserve">offerId, locale, title, description, termsAndConditions, redemptionInstructions</t>
  </si>
  <si>
    <t xml:space="preserve">N:1 Offer</t>
  </si>
  <si>
    <t xml:space="preserve">PK (offerId, locale)</t>
  </si>
  <si>
    <t xml:space="preserve">CardTemplate</t>
  </si>
  <si>
    <t xml:space="preserve">id, offerId, backgroundAssetId, logoAssetId, primaryColor, textColor</t>
  </si>
  <si>
    <t xml:space="preserve">1:1 Offer ; 1:N CardTemplateTranslation</t>
  </si>
  <si>
    <t xml:space="preserve">CardTemplateTranslation</t>
  </si>
  <si>
    <t xml:space="preserve">templateId, locale, defaultMessage</t>
  </si>
  <si>
    <t xml:space="preserve">N:1 CardTemplate</t>
  </si>
  <si>
    <t xml:space="preserve">PK (templateId, locale)</t>
  </si>
  <si>
    <t xml:space="preserve">OfferLink</t>
  </si>
  <si>
    <t xml:space="preserve">offerId, slug</t>
  </si>
  <si>
    <t xml:space="preserve">1:1 Offer</t>
  </si>
  <si>
    <t xml:space="preserve">slug unique</t>
  </si>
  <si>
    <t xml:space="preserve">Ajouté au modèle (UTM déplacés sur Order)</t>
  </si>
  <si>
    <t xml:space="preserve">id, reference, offerId, offerVersion, partnerId, buyerName, buyerEmail, buyerLocale, amount, currency, commissionRateSnapshot, offerSnapshot, termsVersion, termsAcceptedAt, notifyOnRedemption, utmSource, utmMedium, utmCampaign, status, expiresAt, anonymizedAt</t>
  </si>
  <si>
    <t xml:space="preserve">N:1 Offer ; 1:1 GiftRecipient ; 1:1 GiftPersonalization ; 1:N Payment ; 0..1 GiftCard ; 0..N FinancialTransaction</t>
  </si>
  <si>
    <t xml:space="preserve">reference unique non séquentielle</t>
  </si>
  <si>
    <t xml:space="preserve">Complété (snapshots, UTM, CGV)</t>
  </si>
  <si>
    <t xml:space="preserve">GiftRecipient</t>
  </si>
  <si>
    <t xml:space="preserve">orderId, recipientName, recipientEmail, recipientPhone, deliveryChannel, recipientLocale</t>
  </si>
  <si>
    <t xml:space="preserve">1:1 Order</t>
  </si>
  <si>
    <t xml:space="preserve">PK orderId</t>
  </si>
  <si>
    <t xml:space="preserve">Séparé de Personalization (aligné sur le backlog)</t>
  </si>
  <si>
    <t xml:space="preserve">GiftPersonalization</t>
  </si>
  <si>
    <t xml:space="preserve">orderId, senderDisplayName, personalMessage, templateId</t>
  </si>
  <si>
    <t xml:space="preserve">PK orderId ; message ≤ 300</t>
  </si>
  <si>
    <t xml:space="preserve">Séparé de GiftRecipient</t>
  </si>
  <si>
    <t xml:space="preserve">id, orderId, provider, providerTransactionId, amount, currency, status, confirmedAt, rawEventRef</t>
  </si>
  <si>
    <t xml:space="preserve">N:1 Order</t>
  </si>
  <si>
    <t xml:space="preserve">providerTransactionId unique ; ≤ 1 CONFIRMED par Order</t>
  </si>
  <si>
    <t xml:space="preserve">Complété</t>
  </si>
  <si>
    <t xml:space="preserve">Refund</t>
  </si>
  <si>
    <t xml:space="preserve">id, orderId, paymentId, amount, reason, providerRefundId, performedBy, performedAt</t>
  </si>
  <si>
    <t xml:space="preserve">≤ 1 par Order au MVP (remboursement total)</t>
  </si>
  <si>
    <t xml:space="preserve">Nouveau (US-050)</t>
  </si>
  <si>
    <t xml:space="preserve">id, orderId, paymentId, partnerId, type, grossAmount, commissionRate, commissionAmount, partnerAmount, currency, status, settlementId</t>
  </si>
  <si>
    <t xml:space="preserve">N:1 Order ; N:1 PartnerSettlement</t>
  </si>
  <si>
    <t xml:space="preserve">unique (orderId, type) ; immuable</t>
  </si>
  <si>
    <t xml:space="preserve">Fusion de TransactionCommission + FinancialTransaction</t>
  </si>
  <si>
    <t xml:space="preserve">id, partnerId, periodStart, periodEnd, grossAmount, commissionAmount, refundAmount, netPayable, status, paymentReference, paidAt</t>
  </si>
  <si>
    <t xml:space="preserve">N:1 Partner ; 1:N FinancialTransaction</t>
  </si>
  <si>
    <t xml:space="preserve">paymentReference obligatoire si PAID</t>
  </si>
  <si>
    <t xml:space="preserve">id, orderId, partnerId, offerId, offerVersion, cardReference, redemptionCodeHash, faceValue, currency, issuedLocale, localizedContentSnapshot, templateSnapshot, issuedAt, expiresAt, status, statusReason</t>
  </si>
  <si>
    <t xml:space="preserve">1:1 Order ; 0..1 Redemption ; 1:N Delivery ; 1:1 GiftCardView</t>
  </si>
  <si>
    <t xml:space="preserve">orderId unique ; cardReference unique ; redemptionCodeHash unique (HMAC)</t>
  </si>
  <si>
    <t xml:space="preserve">Complété (référence ≠ code)</t>
  </si>
  <si>
    <t xml:space="preserve">GiftCardView</t>
  </si>
  <si>
    <t xml:space="preserve">giftCardId, publicTokenHash, firstViewedAt, viewCount</t>
  </si>
  <si>
    <t xml:space="preserve">1:1 GiftCard</t>
  </si>
  <si>
    <t xml:space="preserve">publicTokenHash unique</t>
  </si>
  <si>
    <t xml:space="preserve">Ajouté au modèle (cité en US-023)</t>
  </si>
  <si>
    <t xml:space="preserve">Redemption</t>
  </si>
  <si>
    <t xml:space="preserve">id, giftCardId, partnerId, performedBy, redeemedAt</t>
  </si>
  <si>
    <t xml:space="preserve">giftCardId unique</t>
  </si>
  <si>
    <t xml:space="preserve">VerificationAttempt</t>
  </si>
  <si>
    <t xml:space="preserve">id, userId, partnerId, success, ip, occurredAt</t>
  </si>
  <si>
    <t xml:space="preserve">index (userId, occurredAt)</t>
  </si>
  <si>
    <t xml:space="preserve">Nouveau (US-052)</t>
  </si>
  <si>
    <t xml:space="preserve">Delivery</t>
  </si>
  <si>
    <t xml:space="preserve">id, giftCardId, channel, destination, locale, status, attempts, providerMessageId, sentAt, lastError</t>
  </si>
  <si>
    <t xml:space="preserve">N:1 GiftCard</t>
  </si>
  <si>
    <t xml:space="preserve">Notification</t>
  </si>
  <si>
    <t xml:space="preserve">id, eventType, eventId, orderId, giftCardId, recipient, locale, status</t>
  </si>
  <si>
    <t xml:space="preserve">N:1 Order / GiftCard</t>
  </si>
  <si>
    <t xml:space="preserve">unique (eventType, eventId) : idempotence</t>
  </si>
  <si>
    <t xml:space="preserve">Ajouté au modèle (cité en US-036/037)</t>
  </si>
  <si>
    <t xml:space="preserve">NotificationTemplate</t>
  </si>
  <si>
    <t xml:space="preserve">eventType, locale, subject, bodyHtml, bodyText, version</t>
  </si>
  <si>
    <t xml:space="preserve">PK (eventType, locale, version)</t>
  </si>
  <si>
    <t xml:space="preserve">ReconciliationAnomaly</t>
  </si>
  <si>
    <t xml:space="preserve">id, type, orderId, paymentId, details, detectedAt, resolvedAt</t>
  </si>
  <si>
    <t xml:space="preserve">N:1 Payment</t>
  </si>
  <si>
    <t xml:space="preserve">Nouveau (US-049)</t>
  </si>
  <si>
    <t xml:space="preserve">LegalDocument</t>
  </si>
  <si>
    <t xml:space="preserve">id, type, locale, version, content, publishedAt</t>
  </si>
  <si>
    <t xml:space="preserve">une version en vigueur par (type, locale)</t>
  </si>
  <si>
    <t xml:space="preserve">Nouveau (US-060)</t>
  </si>
  <si>
    <t xml:space="preserve">PlatformSetting</t>
  </si>
  <si>
    <t xml:space="preserve">key, value, updatedBy, updatedAt</t>
  </si>
  <si>
    <t xml:space="preserve">PK key</t>
  </si>
  <si>
    <t xml:space="preserve">Nouveau (US-058)</t>
  </si>
  <si>
    <t xml:space="preserve">AuditEvent</t>
  </si>
  <si>
    <t xml:space="preserve">id, entityType, entityId, eventType, actorType, actorId, partnerId, changes, ip, correlationId, occurredAt</t>
  </si>
  <si>
    <t xml:space="preserve">Référence logique vers toute entité</t>
  </si>
  <si>
    <t xml:space="preserve">append-only (pas d'UPDATE / DELETE)</t>
  </si>
  <si>
    <t xml:space="preserve">KOADOOO | Décisions à valider</t>
  </si>
  <si>
    <t xml:space="preserve">Les colonnes Statut, Date cible et Décision prise sont à compléter en atelier · « Bloque » = lot qui ne peut démarrer sans réponse</t>
  </si>
  <si>
    <t xml:space="preserve">ID</t>
  </si>
  <si>
    <t xml:space="preserve">Sujet</t>
  </si>
  <si>
    <t xml:space="preserve">Question</t>
  </si>
  <si>
    <t xml:space="preserve">Options</t>
  </si>
  <si>
    <t xml:space="preserve">Recommandation BA (hypothèse retenue dans le backlog)</t>
  </si>
  <si>
    <t xml:space="preserve">US impactées</t>
  </si>
  <si>
    <t xml:space="preserve">Bloque</t>
  </si>
  <si>
    <t xml:space="preserve">Décideur</t>
  </si>
  <si>
    <t xml:space="preserve">Date cible</t>
  </si>
  <si>
    <t xml:space="preserve">Décision prise</t>
  </si>
  <si>
    <t xml:space="preserve">Modèle d'encaissement</t>
  </si>
  <si>
    <t xml:space="preserve">Qui encaisse l'argent de l'acheteur ?</t>
  </si>
  <si>
    <t xml:space="preserve">A. KOADOOO encaisse puis reverse • B. Le partenaire encaisse et paie la commission • C. Paiement fractionné par le PSP</t>
  </si>
  <si>
    <t xml:space="preserve">A pour le MVP (cohérent avec US-021 et le reversement manuel), sous réserve de validation juridique : encaisser pour compte de tiers peut relever d'un statut réglementé (Bank Al-Maghrib). À défaut, C si le PSP le permet.</t>
  </si>
  <si>
    <t xml:space="preserve">US-004, US-018, US-019, US-020, US-021</t>
  </si>
  <si>
    <t xml:space="preserve">Direction / Juridique / Finance</t>
  </si>
  <si>
    <t xml:space="preserve">Ouverte</t>
  </si>
  <si>
    <t xml:space="preserve">Assiette, TVA et frais</t>
  </si>
  <si>
    <t xml:space="preserve">Sur quelle base calcule-t-on la commission, et qui supporte la TVA et les frais PSP ?</t>
  </si>
  <si>
    <t xml:space="preserve">Base TTC ou HT • frais PSP à la charge de KOADOOO, du partenaire ou de l'acheteur • facture de commission mensuelle</t>
  </si>
  <si>
    <t xml:space="preserve">Base = montant payé TTC ; commission facturée au partenaire (HT + TVA) mensuellement ; frais PSP supportés par KOADOOO (inclus dans le taux). Périodicité de reversement : mensuelle.</t>
  </si>
  <si>
    <t xml:space="preserve">US-005, US-019, US-021, US-030, US-031, US-036</t>
  </si>
  <si>
    <t xml:space="preserve">Finance / Expert-comptable</t>
  </si>
  <si>
    <t xml:space="preserve">Remboursements</t>
  </si>
  <si>
    <t xml:space="preserve">Peut-on rembourser une carte, dans quels cas et comment ?</t>
  </si>
  <si>
    <t xml:space="preserve">Manuel encadré par l'Admin • workflow intégré • aucun remboursement</t>
  </si>
  <si>
    <t xml:space="preserve">Manuel encadré au MVP : total uniquement, carte non utilisée, motif obligatoire (US-050). Vérifier l'application du droit de rétractation de la loi 31-08 aux cartes cadeaux.</t>
  </si>
  <si>
    <t xml:space="preserve">US-050, US-051, US-060</t>
  </si>
  <si>
    <t xml:space="preserve">Juridique / Produit</t>
  </si>
  <si>
    <t xml:space="preserve">Publication des offres</t>
  </si>
  <si>
    <t xml:space="preserve">Le partenaire publie-t-il seul ou après approbation ?</t>
  </si>
  <si>
    <t xml:space="preserve">Autonome • approbation Admin</t>
  </si>
  <si>
    <t xml:space="preserve">Autonome au MVP : les partenaires sont onboardés à la main (contrôle à l'entrée) et l'Admin peut dépublier (US-033). US-055 reste en P2.</t>
  </si>
  <si>
    <t xml:space="preserve">US-009, US-055</t>
  </si>
  <si>
    <t xml:space="preserve">Produit</t>
  </si>
  <si>
    <t xml:space="preserve">Méthode d'utilisation et anti-fraude</t>
  </si>
  <si>
    <t xml:space="preserve">Comment la carte est-elle présentée et validée en caisse ?</t>
  </si>
  <si>
    <t xml:space="preserve">Code • QR • QR + confirmation • code + vérification d'identité</t>
  </si>
  <si>
    <t xml:space="preserve">QR + saisie de secours, avec confirmation explicite et limitation des tentatives (US-052). La carte est un titre au porteur : le communiquer clairement dans les CGV et sur la page cadeau.</t>
  </si>
  <si>
    <t xml:space="preserve">US-023, US-026, US-027, US-052</t>
  </si>
  <si>
    <t xml:space="preserve">Produit / Sécurité</t>
  </si>
  <si>
    <t xml:space="preserve">Choix du PSP</t>
  </si>
  <si>
    <t xml:space="preserve">Quel prestataire de paiement utiliser ?</t>
  </si>
  <si>
    <t xml:space="preserve">CMI ou autre PSP agréé au Maroc (à consulter)</t>
  </si>
  <si>
    <t xml:space="preserve">Critères éliminatoires : page hébergée, notification serveur signée, API de consultation de statut, remboursement, environnement de test, délai d'activation. Lancer la consultation dès maintenant (délai d'ouverture du compte marchand).</t>
  </si>
  <si>
    <t xml:space="preserve">US-018, US-049, US-050</t>
  </si>
  <si>
    <t xml:space="preserve">Direction / Technique</t>
  </si>
  <si>
    <t xml:space="preserve">WhatsApp</t>
  </si>
  <si>
    <t xml:space="preserve">Partage manuel ou envoi automatique ?</t>
  </si>
  <si>
    <t xml:space="preserve">Partage manuel (lien wa.me) • WhatsApp Business API</t>
  </si>
  <si>
    <t xml:space="preserve">Partage manuel au MVP (aucun coût, aucune validation Meta). API Business en évolution post-MVP.</t>
  </si>
  <si>
    <t xml:space="preserve">Cartes expirées non utilisées</t>
  </si>
  <si>
    <t xml:space="preserve">Que deviennent les fonds d'une carte expirée ?</t>
  </si>
  <si>
    <t xml:space="preserve">Conservés par le partenaire • par KOADOOO • partagés • prolongation possible</t>
  </si>
  <si>
    <t xml:space="preserve">À trancher contractuellement. Hypothèse du backlog : aucun mouvement à l'expiration, les fonds suivent la règle de reversement (D-11).</t>
  </si>
  <si>
    <t xml:space="preserve">US-029, US-021, US-030</t>
  </si>
  <si>
    <t xml:space="preserve">Direction / Juridique</t>
  </si>
  <si>
    <t xml:space="preserve">Cartes d'un partenaire suspendu</t>
  </si>
  <si>
    <t xml:space="preserve">Les cartes déjà vendues restent-elles utilisables ?</t>
  </si>
  <si>
    <t xml:space="preserve">Utilisables • bloquées • remboursées</t>
  </si>
  <si>
    <t xml:space="preserve">Utilisables par défaut (protection du bénéficiaire) ; l'Admin peut les bloquer au cas par cas (US-051).</t>
  </si>
  <si>
    <t xml:space="preserve">US-035, US-051</t>
  </si>
  <si>
    <t xml:space="preserve">Données personnelles (loi 09-08)</t>
  </si>
  <si>
    <t xml:space="preserve">Quelles formalités et quelle conservation ?</t>
  </si>
  <si>
    <t xml:space="preserve">Déclaration ou autorisation CNDP • hébergement au Maroc ou à l'étranger • durées de conservation</t>
  </si>
  <si>
    <t xml:space="preserve">Engager les formalités CNDP avant la mise en production ; documenter l'hébergement (transfert hors Maroc éventuel) ; proposer 24 mois après fin de vie de la carte pour les données personnelles, conservation légale pour les pièces comptables.</t>
  </si>
  <si>
    <t xml:space="preserve">US-038, US-056, US-057</t>
  </si>
  <si>
    <t xml:space="preserve">Mise en production</t>
  </si>
  <si>
    <t xml:space="preserve">Juridique / DPO</t>
  </si>
  <si>
    <t xml:space="preserve">D-11</t>
  </si>
  <si>
    <t xml:space="preserve">Fait générateur du reversement</t>
  </si>
  <si>
    <t xml:space="preserve">Le partenaire est-il payé à la vente ou à l'utilisation de la carte ?</t>
  </si>
  <si>
    <t xml:space="preserve">À la vente (net des remboursements) • à l'utilisation</t>
  </si>
  <si>
    <t xml:space="preserve">Hypothèse du backlog : à la vente, avec déduction des remboursements sur le reversement suivant. « À l'utilisation » protège mieux l'acheteur mais retarde la trésorerie du partenaire et change US-021.</t>
  </si>
  <si>
    <t xml:space="preserve">US-021, US-031, US-050</t>
  </si>
  <si>
    <t xml:space="preserve">Direction / Finance</t>
  </si>
  <si>
    <t xml:space="preserve">Bornes des offres</t>
  </si>
  <si>
    <t xml:space="preserve">Montants et durées de validité autorisés ?</t>
  </si>
  <si>
    <t xml:space="preserve">Bornes libres • bornes plateforme</t>
  </si>
  <si>
    <t xml:space="preserve">50 à 10 000 MAD ; validité 30 à 730 jours, 365 par défaut ; paramétrables plus tard (US-058).</t>
  </si>
  <si>
    <t xml:space="preserve">US-007, US-058</t>
  </si>
  <si>
    <t xml:space="preserve">Prévenir l'acheteur de l'utilisation</t>
  </si>
  <si>
    <t xml:space="preserve">L'acheteur est-il notifié quand le cadeau est utilisé ?</t>
  </si>
  <si>
    <t xml:space="preserve">Jamais • toujours • au choix de l'acheteur</t>
  </si>
  <si>
    <t xml:space="preserve">Au choix de l'acheteur, case cochée par défaut au récapitulatif.</t>
  </si>
  <si>
    <t xml:space="preserve">D-14</t>
  </si>
  <si>
    <t xml:space="preserve">Nom du produit</t>
  </si>
  <si>
    <t xml:space="preserve">KOADOOO ou Kadooo ?</t>
  </si>
  <si>
    <t xml:space="preserve">KOADOOO (backlog) • Kadooo (projet / Jira)</t>
  </si>
  <si>
    <t xml:space="preserve">Fixer une graphie unique avant les maquettes, les emails et le nom de domaine.</t>
  </si>
  <si>
    <t xml:space="preserve">Toutes</t>
  </si>
  <si>
    <t xml:space="preserve">Direction / Marketing</t>
  </si>
  <si>
    <t xml:space="preserve">Code dans l'email</t>
  </si>
  <si>
    <t xml:space="preserve">L'email cadeau contient-il le code d'utilisation ?</t>
  </si>
  <si>
    <t xml:space="preserve">Code dans l'email • lien seulement</t>
  </si>
  <si>
    <t xml:space="preserve">Lien seulement : limite l'exposition du code (transferts, aperçus) ; le code est sur la page cadeau.</t>
  </si>
  <si>
    <t xml:space="preserve">US-024, US-023</t>
  </si>
  <si>
    <t xml:space="preserve">KOADOOO | Exigences non fonctionnelles (NFR)</t>
  </si>
  <si>
    <t xml:space="preserve">47 exigences mesurables · stack Next.js + Java / Spring Boot · catégories ISO 25010 · chaque NFR est vérifiée dans la Definition of Done</t>
  </si>
  <si>
    <t xml:space="preserve">ARCHITECTURE CIBLE (hypothèses sur lesquelles reposent les NFR)</t>
  </si>
  <si>
    <t xml:space="preserve">Frontend</t>
  </si>
  <si>
    <t xml:space="preserve">Next.js (App Router, TypeScript strict). Pages publiques (catalogue, offre, achat, page cadeau) rendues côté serveur pour la vitesse et les aperçus de partage ; back-office Admin et partenaire dans la même application, routes protégées. Aucune règle métier côté front : il affiche et appelle l'API.</t>
  </si>
  <si>
    <t xml:space="preserve">Backend</t>
  </si>
  <si>
    <t xml:space="preserve">Java 21 + Spring Boot 3 en monolithe modulaire (modules : identity, partner, catalog, order, payment, issuance, redemption, notification, reporting, audit, i18n). Frontières vérifiées automatiquement (Spring Modulith / ArchUnit). API REST décrite en OpenAPI 3.</t>
  </si>
  <si>
    <t xml:space="preserve">Pourquoi un monolithe modulaire</t>
  </si>
  <si>
    <t xml:space="preserve">Équipe réduite, besoin fort de cohérence transactionnelle (paiement → commande → transaction → carte) et un seul déploiement à opérer. Les modules pourront être extraits plus tard si la charge l'exige.</t>
  </si>
  <si>
    <t xml:space="preserve">Données</t>
  </si>
  <si>
    <t xml:space="preserve">PostgreSQL : transactions ACID, contraintes d'unicité garantissant l'idempotence, timestamptz. Migrations Flyway. Stockage objet compatible S3 pour les médias. Redis optionnel (limitation de débit multi-instances, cache).</t>
  </si>
  <si>
    <t xml:space="preserve">Asynchrone</t>
  </si>
  <si>
    <t xml:space="preserve">Outbox transactionnelle en base + workers Spring (émission, emails, rapprochement PSP, expirations). Pas de broker de messages au MVP.</t>
  </si>
  <si>
    <t xml:space="preserve">Intégrations</t>
  </si>
  <si>
    <t xml:space="preserve">PSP : page de paiement hébergée + notification serveur signée + API de statut (D-06). Fournisseur d'email transactionnel. Lien wa.me pour WhatsApp (D-07).</t>
  </si>
  <si>
    <t xml:space="preserve">Hébergement</t>
  </si>
  <si>
    <t xml:space="preserve">Conteneurs Docker, infrastructure en code, environnements dev / recette / préprod / prod séparés. Localisation de l'hébergement selon D-10 (loi 09-08).</t>
  </si>
  <si>
    <t xml:space="preserve">EXIGENCES</t>
  </si>
  <si>
    <t xml:space="preserve">Catégorie</t>
  </si>
  <si>
    <t xml:space="preserve">Exigence</t>
  </si>
  <si>
    <t xml:space="preserve">Cible mesurable</t>
  </si>
  <si>
    <t xml:space="preserve">Mise en œuvre Next.js</t>
  </si>
  <si>
    <t xml:space="preserve">Mise en œuvre Java / Spring</t>
  </si>
  <si>
    <t xml:space="preserve">Vérification</t>
  </si>
  <si>
    <t xml:space="preserve">Lot</t>
  </si>
  <si>
    <t xml:space="preserve">US liées</t>
  </si>
  <si>
    <t xml:space="preserve">NFR-001</t>
  </si>
  <si>
    <t xml:space="preserve">Sécurité</t>
  </si>
  <si>
    <t xml:space="preserve">Référentiel de sécurité applicative appliqué à tout le périmètre.</t>
  </si>
  <si>
    <t xml:space="preserve">OWASP ASVS niveau 2 ; 0 vulnérabilité critique ou haute ouverte en production.</t>
  </si>
  <si>
    <t xml:space="preserve">En-têtes CSP stricte (nonce), HSTS, X-Content-Type-Options, frame-ancestors 'none' ; aucune variable secrète exposée au navigateur.</t>
  </si>
  <si>
    <t xml:space="preserve">Spring Security ; Bean Validation sur toutes les entrées ; requêtes paramétrées (JPA) uniquement.</t>
  </si>
  <si>
    <t xml:space="preserve">Scan DAST (OWASP ZAP) sur recette à chaque release ; test d'intrusion externe avant go-live.</t>
  </si>
  <si>
    <t xml:space="preserve">NFR-002</t>
  </si>
  <si>
    <t xml:space="preserve">Authentification et sessions du back-office robustes.</t>
  </si>
  <si>
    <t xml:space="preserve">Cookie de session HttpOnly, Secure, SameSite=Lax ; inactivité 30 min, durée max 8 h ; MFA obligatoire Admin.</t>
  </si>
  <si>
    <t xml:space="preserve">Aucun jeton dans localStorage ; middleware de redirection vers la connexion ; protection CSRF sur les mutations.</t>
  </si>
  <si>
    <t xml:space="preserve">Spring Security + Spring Session (JDBC ou Redis) ; Argon2id ; révocation des sessions à la désactivation et au reset.</t>
  </si>
  <si>
    <t xml:space="preserve">Tests d'intégration sécurité ; revue de configuration.</t>
  </si>
  <si>
    <t xml:space="preserve">US-001, US-003, US-047</t>
  </si>
  <si>
    <t xml:space="preserve">NFR-003</t>
  </si>
  <si>
    <t xml:space="preserve">Isolation stricte des données entre partenaires.</t>
  </si>
  <si>
    <t xml:space="preserve">100 % des endpoints back-office couverts par un test d'accès croisé ; partnerId toujours issu de la session, jamais de la requête.</t>
  </si>
  <si>
    <t xml:space="preserve">Contrôles d'accès côté front uniquement pour l'ergonomie (jamais considérés comme sécurité).</t>
  </si>
  <si>
    <t xml:space="preserve">@PreAuthorize + filtre tenant systématique (filtre Hibernate ou spécifications) ; règle ArchUnit interdisant un accès repository sans tenant.</t>
  </si>
  <si>
    <t xml:space="preserve">Suite « cross-tenant » exécutée à chaque PR : partenaire A tente chaque ressource de B → 404.</t>
  </si>
  <si>
    <t xml:space="preserve">US-001, US-031, US-054</t>
  </si>
  <si>
    <t xml:space="preserve">NFR-004</t>
  </si>
  <si>
    <t xml:space="preserve">Secrets, codes et données sensibles protégés.</t>
  </si>
  <si>
    <t xml:space="preserve">0 secret dans le dépôt ; codes d'utilisation et jetons stockés en HMAC/hash ; RIB et secret MFA chiffrés en base (AES-GCM).</t>
  </si>
  <si>
    <t xml:space="preserve">Secrets uniquement côté serveur (route handlers).</t>
  </si>
  <si>
    <t xml:space="preserve">Gestionnaire de secrets (Vault ou service cloud) ; chiffrement de colonne par convertisseur JPA ; clé HMAC dédiée et rotative.</t>
  </si>
  <si>
    <t xml:space="preserve">gitleaks en pre-commit et en CI ; revue du schéma.</t>
  </si>
  <si>
    <t xml:space="preserve">US-004, US-022, US-023, US-047</t>
  </si>
  <si>
    <t xml:space="preserve">NFR-005</t>
  </si>
  <si>
    <t xml:space="preserve">Périmètre paiement minimal et notifications PSP authentifiées.</t>
  </si>
  <si>
    <t xml:space="preserve">Périmètre PCI-DSS SAQ A ; signature de chaque notification vérifiée ; rejet si horodatage &gt; 5 min (anti-rejeu).</t>
  </si>
  <si>
    <t xml:space="preserve">Redirection vers la page hébergée du PSP ; aucun champ de carte dans l'application.</t>
  </si>
  <si>
    <t xml:space="preserve">Endpoint webhook dédié, vérification de signature avant tout traitement, journalisation de la notification brute (sans donnée sensible).</t>
  </si>
  <si>
    <t xml:space="preserve">Tests de contrat avec simulateur PSP : signature invalide, rejeu, montant divergent.</t>
  </si>
  <si>
    <t xml:space="preserve">US-018, US-049</t>
  </si>
  <si>
    <t xml:space="preserve">NFR-006</t>
  </si>
  <si>
    <t xml:space="preserve">Limitation de débit contre abus et force brute.</t>
  </si>
  <si>
    <t xml:space="preserve">Connexion 5 échecs / 15 min ; reset 3 / h / email ; vérification de codes 10 échecs / 15 min / gestionnaire ; API publique 60 req / min / IP.</t>
  </si>
  <si>
    <t xml:space="preserve">Limitation complémentaire dans le middleware pour les routes publiques.</t>
  </si>
  <si>
    <t xml:space="preserve">Bucket4j (stockage Redis si plusieurs instances) ; réponses 429 avec Retry-After.</t>
  </si>
  <si>
    <t xml:space="preserve">Tests automatisés dépassant chaque seuil.</t>
  </si>
  <si>
    <t xml:space="preserve">US-001, US-003, US-052</t>
  </si>
  <si>
    <t xml:space="preserve">NFR-007</t>
  </si>
  <si>
    <t xml:space="preserve">Chaîne logicielle maîtrisée.</t>
  </si>
  <si>
    <t xml:space="preserve">0 dépendance à vulnérabilité critique connue en production ; SBOM produit à chaque build ; images de base minimales.</t>
  </si>
  <si>
    <t xml:space="preserve">Lockfile versionné ; npm audit / Dependabot.</t>
  </si>
  <si>
    <t xml:space="preserve">OWASP Dependency-Check ou Snyk ; SBOM CycloneDX ; image distroless ou JRE minimal, utilisateur non root.</t>
  </si>
  <si>
    <t xml:space="preserve">Étape CI bloquante.</t>
  </si>
  <si>
    <t xml:space="preserve">NFR-008</t>
  </si>
  <si>
    <t xml:space="preserve">Contenus fournis par les utilisateurs neutralisés.</t>
  </si>
  <si>
    <t xml:space="preserve">Aucune injection possible via message personnel, traductions ou fichiers.</t>
  </si>
  <si>
    <t xml:space="preserve">Échappement React par défaut ; dangerouslySetInnerHTML interdit par règle ESLint.</t>
  </si>
  <si>
    <t xml:space="preserve">Validation du type réel des fichiers (Apache Tika), suppression EXIF, taille max ; sanitisation si HTML admis dans les emails.</t>
  </si>
  <si>
    <t xml:space="preserve">Charges XSS dans les tests E2E ; tests d'upload malveillant.</t>
  </si>
  <si>
    <t xml:space="preserve">US-016, US-059, US-041</t>
  </si>
  <si>
    <t xml:space="preserve">NFR-010</t>
  </si>
  <si>
    <t xml:space="preserve">Fiabilité</t>
  </si>
  <si>
    <t xml:space="preserve">Idempotence de tous les traitements rejouables.</t>
  </si>
  <si>
    <t xml:space="preserve">0 double émission sur un test de 1 000 notifications dupliquées envoyées en parallèle.</t>
  </si>
  <si>
    <t xml:space="preserve">Contraintes uniques (GiftCard.orderId, Payment.providerTransactionId, Notification.eventId) ; INSERT … ON CONFLICT ; clé d'idempotence par événement outbox.</t>
  </si>
  <si>
    <t xml:space="preserve">Test de concurrence JUnit + Testcontainers PostgreSQL (≥ 50 threads).</t>
  </si>
  <si>
    <t xml:space="preserve">US-018, US-022, US-036</t>
  </si>
  <si>
    <t xml:space="preserve">NFR-011</t>
  </si>
  <si>
    <t xml:space="preserve">Utilisation d'une carte strictement unique.</t>
  </si>
  <si>
    <t xml:space="preserve">1 seule validation acceptée sur 100 tentatives simultanées.</t>
  </si>
  <si>
    <t xml:space="preserve">Bouton désactivé après le premier clic (ergonomie seulement).</t>
  </si>
  <si>
    <t xml:space="preserve">UPDATE conditionnel (status = ACTIVE et non expirée) + contrainte unique Redemption.giftCardId, dans une même transaction.</t>
  </si>
  <si>
    <t xml:space="preserve">Test de charge concurrent dédié en CI.</t>
  </si>
  <si>
    <t xml:space="preserve">NFR-012</t>
  </si>
  <si>
    <t xml:space="preserve">Cohérence transactionnelle du flux financier.</t>
  </si>
  <si>
    <t xml:space="preserve">Paiement confirmé, commande PAID, transaction financière et événement d'émission enregistrés ensemble ou pas du tout.</t>
  </si>
  <si>
    <t xml:space="preserve">@Transactional sur le traitement de notification ; effets externes (email, appels) uniquement après commit via outbox.</t>
  </si>
  <si>
    <t xml:space="preserve">Tests d'intégration avec pannes simulées en cours de transaction.</t>
  </si>
  <si>
    <t xml:space="preserve">US-018, US-020, US-022</t>
  </si>
  <si>
    <t xml:space="preserve">NFR-013</t>
  </si>
  <si>
    <t xml:space="preserve">Résilience face aux services tiers.</t>
  </si>
  <si>
    <t xml:space="preserve">Délais max : PSP 5 s, email 10 s ; reprises avec backoff exponentiel ; coupe-circuit après 50 % d'échecs.</t>
  </si>
  <si>
    <t xml:space="preserve">Timeouts sur les appels serveur ; message clair en cas d'indisponibilité du paiement.</t>
  </si>
  <si>
    <t xml:space="preserve">Resilience4j (timeout, retry, circuit breaker) sur les clients PSP et email.</t>
  </si>
  <si>
    <t xml:space="preserve">Injection de pannes avec WireMock (latence, erreurs 5xx).</t>
  </si>
  <si>
    <t xml:space="preserve">US-018, US-024, US-049</t>
  </si>
  <si>
    <t xml:space="preserve">NFR-014</t>
  </si>
  <si>
    <t xml:space="preserve">Exactitude des montants.</t>
  </si>
  <si>
    <t xml:space="preserve">0 écart au centime ; aucun calcul monétaire en virgule flottante.</t>
  </si>
  <si>
    <t xml:space="preserve">Montants reçus en chaîne décimale ; affichage par Intl.NumberFormat ; aucun calcul métier côté client.</t>
  </si>
  <si>
    <t xml:space="preserve">BigDecimal échelle 2, arrondi HALF_UP ; type Money ; colonnes numeric(12,2).</t>
  </si>
  <si>
    <t xml:space="preserve">Tests unitaires et tests par propriétés (jqwik) sur le calcul de commission.</t>
  </si>
  <si>
    <t xml:space="preserve">US-019, US-020, US-021</t>
  </si>
  <si>
    <t xml:space="preserve">NFR-015</t>
  </si>
  <si>
    <t xml:space="preserve">Gestion correcte du temps et du fuseau marocain.</t>
  </si>
  <si>
    <t xml:space="preserve">Stockage en UTC ; expiration et rapports en Africa/Casablanca ; base de fuseaux à jour (le Maroc change d'heure pendant le Ramadan).</t>
  </si>
  <si>
    <t xml:space="preserve">Intl.DateTimeFormat avec timeZone Africa/Casablanca.</t>
  </si>
  <si>
    <t xml:space="preserve">java.time avec ZoneId Africa/Casablanca ; Clock injectable pour les tests.</t>
  </si>
  <si>
    <t xml:space="preserve">Tests autour des dates de changement d'heure et de fin de journée.</t>
  </si>
  <si>
    <t xml:space="preserve">US-022, US-029, US-030</t>
  </si>
  <si>
    <t xml:space="preserve">NFR-020</t>
  </si>
  <si>
    <t xml:space="preserve">Performance</t>
  </si>
  <si>
    <t xml:space="preserve">Pages publiques rapides sur mobile.</t>
  </si>
  <si>
    <t xml:space="preserve">Core Web Vitals p75 mobile : LCP &lt; 2,5 s, INP &lt; 200 ms, CLS &lt; 0,1 ; JavaScript initial &lt; 200 Ko compressé par route publique.</t>
  </si>
  <si>
    <t xml:space="preserve">Rendu serveur et revalidation (≤ 60 s ou à la publication via revalidation ciblée) ; next/image ; polices auto-hébergées ; composants serveur par défaut.</t>
  </si>
  <si>
    <t xml:space="preserve">Cache HTTP (ETag) sur l'API catalogue.</t>
  </si>
  <si>
    <t xml:space="preserve">Lighthouse CI en PR avec seuils ; mesure réelle (web-vitals) en production.</t>
  </si>
  <si>
    <t xml:space="preserve">US-011, US-012, US-023</t>
  </si>
  <si>
    <t xml:space="preserve">NFR-021</t>
  </si>
  <si>
    <t xml:space="preserve">API réactive.</t>
  </si>
  <si>
    <t xml:space="preserve">p95 &lt; 300 ms en lecture et &lt; 800 ms en écriture (hors appel PSP) à 50 req/s.</t>
  </si>
  <si>
    <t xml:space="preserve">Index sur les clés de recherche ; pool HikariCP dimensionné ; absence de requêtes N+1 (statistiques Hibernate en test).</t>
  </si>
  <si>
    <t xml:space="preserve">Test de charge k6 ou Gatling en préproduction avant chaque release majeure.</t>
  </si>
  <si>
    <t xml:space="preserve">NFR-022</t>
  </si>
  <si>
    <t xml:space="preserve">Délais du parcours après paiement.</t>
  </si>
  <si>
    <t xml:space="preserve">Carte émise &lt; 10 s et email cadeau envoyé &lt; 2 min après confirmation (p95).</t>
  </si>
  <si>
    <t xml:space="preserve">Page de confirmation qui se met à jour automatiquement (polling court).</t>
  </si>
  <si>
    <t xml:space="preserve">Workers outbox avec scrutation ≤ 2 s.</t>
  </si>
  <si>
    <t xml:space="preserve">Métrique bout en bout « confirmation → envoi » suivie en recette et en production.</t>
  </si>
  <si>
    <t xml:space="preserve">US-022, US-024, US-036</t>
  </si>
  <si>
    <t xml:space="preserve">NFR-023</t>
  </si>
  <si>
    <t xml:space="preserve">Vérification en caisse rapide.</t>
  </si>
  <si>
    <t xml:space="preserve">Résultat affiché &lt; 2 s p95 après scan du QR code.</t>
  </si>
  <si>
    <t xml:space="preserve">Lecture du QR côté navigateur (BarcodeDetector avec repli sur une bibliothèque JS) ; écran léger.</t>
  </si>
  <si>
    <t xml:space="preserve">Recherche indexée par HMAC du code.</t>
  </si>
  <si>
    <t xml:space="preserve">E2E Playwright sur mobile émulé ; test sur appareils réels en recette.</t>
  </si>
  <si>
    <t xml:space="preserve">NFR-024</t>
  </si>
  <si>
    <t xml:space="preserve">Capacité dimensionnée pour les pics de cadeaux.</t>
  </si>
  <si>
    <t xml:space="preserve">Hypothèse à valider : 20 000 commandes / mois et pic de 50 commandes / min (fête des mères, Aïd, fin d'année) sans dégradation.</t>
  </si>
  <si>
    <t xml:space="preserve">Pages publiques mises en cache.</t>
  </si>
  <si>
    <t xml:space="preserve">Backend sans état, mise à l'échelle horizontale.</t>
  </si>
  <si>
    <t xml:space="preserve">Test de pic en préproduction.</t>
  </si>
  <si>
    <t xml:space="preserve">NFR-030</t>
  </si>
  <si>
    <t xml:space="preserve">Disponibilité</t>
  </si>
  <si>
    <t xml:space="preserve">Services critiques disponibles.</t>
  </si>
  <si>
    <t xml:space="preserve">99,5 % / mois pour achat, page cadeau et vérification ; 99 % pour le back-office.</t>
  </si>
  <si>
    <t xml:space="preserve">Déploiement sans interruption.</t>
  </si>
  <si>
    <t xml:space="preserve">≥ 2 instances ; sondes liveness / readiness (Actuator) ; déploiement progressif.</t>
  </si>
  <si>
    <t xml:space="preserve">Supervision synthétique toutes les minutes sur les 3 parcours critiques.</t>
  </si>
  <si>
    <t xml:space="preserve">NFR-031</t>
  </si>
  <si>
    <t xml:space="preserve">Sauvegarde et reprise après sinistre.</t>
  </si>
  <si>
    <t xml:space="preserve">RPO 15 min (restauration à un instant donné), RTO 4 h ; sauvegardes chiffrées hors site ; restauration testée chaque trimestre.</t>
  </si>
  <si>
    <t xml:space="preserve">Exercice de restauration documenté avant go-live puis trimestriel.</t>
  </si>
  <si>
    <t xml:space="preserve">Avant prod</t>
  </si>
  <si>
    <t xml:space="preserve">NFR-032</t>
  </si>
  <si>
    <t xml:space="preserve">Mode dégradé maîtrisé.</t>
  </si>
  <si>
    <t xml:space="preserve">PSP indisponible : aucune commande perdue, message clair ; email indisponible : envois en file ; page cadeau et vérification indépendantes des services tiers.</t>
  </si>
  <si>
    <t xml:space="preserve">Pages d'erreur localisées et explicites.</t>
  </si>
  <si>
    <t xml:space="preserve">Outbox et reprises ; aucune dépendance tierce dans le chemin de vérification.</t>
  </si>
  <si>
    <t xml:space="preserve">Tests de panne en préproduction.</t>
  </si>
  <si>
    <t xml:space="preserve">US-018, US-024, US-026</t>
  </si>
  <si>
    <t xml:space="preserve">NFR-040</t>
  </si>
  <si>
    <t xml:space="preserve">Maintenabilité</t>
  </si>
  <si>
    <t xml:space="preserve">Frontières de modules respectées.</t>
  </si>
  <si>
    <t xml:space="preserve">0 dépendance interdite entre modules ; aucun accès direct aux tables d'un autre module.</t>
  </si>
  <si>
    <t xml:space="preserve">Organisation par fonctionnalité (app/[locale]/…, features/…).</t>
  </si>
  <si>
    <t xml:space="preserve">Spring Modulith verify et règles ArchUnit en CI ; communication par API interne ou événements.</t>
  </si>
  <si>
    <t xml:space="preserve">NFR-041</t>
  </si>
  <si>
    <t xml:space="preserve">Contrat d'API unique entre front et back.</t>
  </si>
  <si>
    <t xml:space="preserve">OpenAPI générée = source de vérité ; client TypeScript toujours synchronisé ; préfixe /api/v1 ; aucune rupture sans nouvelle version.</t>
  </si>
  <si>
    <t xml:space="preserve">Client et types générés (openapi-typescript ou équivalent) ; aucun type d'API écrit à la main.</t>
  </si>
  <si>
    <t xml:space="preserve">springdoc-openapi ; codes d'erreur stables (ex. CARD_ALREADY_REDEEMED) traduits côté front.</t>
  </si>
  <si>
    <t xml:space="preserve">CI échoue si le client généré diffère de celui committé.</t>
  </si>
  <si>
    <t xml:space="preserve">NFR-042</t>
  </si>
  <si>
    <t xml:space="preserve">Qualité de code mesurée.</t>
  </si>
  <si>
    <t xml:space="preserve">Quality gate SonarQube : couverture ≥ 80 % sur order, payment, issuance, redemption, commission ; ≥ 60 % global ; duplication &lt; 3 % ; 0 bug ou vulnérabilité bloquante.</t>
  </si>
  <si>
    <t xml:space="preserve">TypeScript strict, ESLint, Prettier, Vitest.</t>
  </si>
  <si>
    <t xml:space="preserve">Spotless, Checkstyle, SpotBugs, JaCoCo.</t>
  </si>
  <si>
    <t xml:space="preserve">Quality gate bloquant sur chaque PR.</t>
  </si>
  <si>
    <t xml:space="preserve">NFR-043</t>
  </si>
  <si>
    <t xml:space="preserve">Évolutions de schéma sans interruption.</t>
  </si>
  <si>
    <t xml:space="preserve">Migrations Flyway versionnées, jamais modifiées après déploiement, rétrocompatibles (expand / contract).</t>
  </si>
  <si>
    <t xml:space="preserve">Flyway ; revue obligatoire de chaque migration.</t>
  </si>
  <si>
    <t xml:space="preserve">Migration testée sur copie anonymisée de préprod.</t>
  </si>
  <si>
    <t xml:space="preserve">NFR-044</t>
  </si>
  <si>
    <t xml:space="preserve">Configuration externalisée.</t>
  </si>
  <si>
    <t xml:space="preserve">Principes 12-factor ; paramètres métier en base (US-058) ; feature flags pour les options en attente de décision (D-04, D-07, D-13).</t>
  </si>
  <si>
    <t xml:space="preserve">Variables d'environnement serveur uniquement.</t>
  </si>
  <si>
    <t xml:space="preserve">Profils Spring ; table de feature flags simple.</t>
  </si>
  <si>
    <t xml:space="preserve">Revue de configuration par environnement.</t>
  </si>
  <si>
    <t xml:space="preserve">US-055, US-058</t>
  </si>
  <si>
    <t xml:space="preserve">NFR-045</t>
  </si>
  <si>
    <t xml:space="preserve">Décisions et documentation tracées.</t>
  </si>
  <si>
    <t xml:space="preserve">Un ADR par décision d'architecture ; README par module ; documentation d'API publiée en recette.</t>
  </si>
  <si>
    <t xml:space="preserve">Vérifié dans la Definition of Done.</t>
  </si>
  <si>
    <t xml:space="preserve">NFR-050</t>
  </si>
  <si>
    <t xml:space="preserve">Pyramide de tests automatisés.</t>
  </si>
  <si>
    <t xml:space="preserve">Parcours nominal E2E vert à chaque merge, en fr et ar, mobile et desktop.</t>
  </si>
  <si>
    <t xml:space="preserve">Vitest + Testing Library ; Playwright E2E.</t>
  </si>
  <si>
    <t xml:space="preserve">JUnit 5, Testcontainers (PostgreSQL réel), tests de contrat API.</t>
  </si>
  <si>
    <t xml:space="preserve">Pipeline CI.</t>
  </si>
  <si>
    <t xml:space="preserve">NFR-051</t>
  </si>
  <si>
    <t xml:space="preserve">Environnements de test autonomes.</t>
  </si>
  <si>
    <t xml:space="preserve">PSP et email simulés en dev et recette ; données de test synthétiques ; jamais de données de production hors production.</t>
  </si>
  <si>
    <t xml:space="preserve">WireMock (PSP), Mailpit (email) ; jeux de données générés.</t>
  </si>
  <si>
    <t xml:space="preserve">Revue d'environnement.</t>
  </si>
  <si>
    <t xml:space="preserve">US-018, US-024</t>
  </si>
  <si>
    <t xml:space="preserve">NFR-052</t>
  </si>
  <si>
    <t xml:space="preserve">Tests non fonctionnels automatisés.</t>
  </si>
  <si>
    <t xml:space="preserve">Charge, sécurité, accessibilité et performance front exécutés au moins à chaque release.</t>
  </si>
  <si>
    <t xml:space="preserve">Lighthouse CI, axe-core.</t>
  </si>
  <si>
    <t xml:space="preserve">k6 ou Gatling ; OWASP ZAP.</t>
  </si>
  <si>
    <t xml:space="preserve">Planification CI (nightly / release).</t>
  </si>
  <si>
    <t xml:space="preserve">NFR-060</t>
  </si>
  <si>
    <t xml:space="preserve">Observabilité</t>
  </si>
  <si>
    <t xml:space="preserve">Traçabilité technique de bout en bout.</t>
  </si>
  <si>
    <t xml:space="preserve">Logs JSON structurés ; identifiant de trace propagé du navigateur au backend (W3C traceparent) ; aucune donnée personnelle complète ni secret dans les logs.</t>
  </si>
  <si>
    <t xml:space="preserve">Instrumentation OpenTelemetry côté serveur Next.js.</t>
  </si>
  <si>
    <t xml:space="preserve">Micrometer Tracing + OpenTelemetry ; Logback JSON ; masquage des emails, téléphones, codes.</t>
  </si>
  <si>
    <t xml:space="preserve">Revue des logs en recette ; test de non-présence de secrets.</t>
  </si>
  <si>
    <t xml:space="preserve">NFR-061</t>
  </si>
  <si>
    <t xml:space="preserve">Métriques et alertes techniques et métier.</t>
  </si>
  <si>
    <t xml:space="preserve">Alertes sur : notifications PSP rejetées, émissions en retard &gt; 1 min, emails en échec, anomalies de rapprochement, blocages anti-fraude, taux d'erreur 5xx &gt; 1 %.</t>
  </si>
  <si>
    <t xml:space="preserve">Suivi des erreurs front.</t>
  </si>
  <si>
    <t xml:space="preserve">Micrometer → Prometheus / Grafana (ou service managé équivalent) ; métriques métier dédiées.</t>
  </si>
  <si>
    <t xml:space="preserve">Déclenchement simulé de chaque alerte avant go-live.</t>
  </si>
  <si>
    <t xml:space="preserve">US-024, US-049, US-052</t>
  </si>
  <si>
    <t xml:space="preserve">NFR-062</t>
  </si>
  <si>
    <t xml:space="preserve">Déploiements traçables et réversibles.</t>
  </si>
  <si>
    <t xml:space="preserve">Versions SemVer ; changelog lié aux US Jira ; retour arrière &lt; 15 min.</t>
  </si>
  <si>
    <t xml:space="preserve">Exercice de rollback en préproduction.</t>
  </si>
  <si>
    <t xml:space="preserve">NFR-070</t>
  </si>
  <si>
    <t xml:space="preserve">Utilisabilité</t>
  </si>
  <si>
    <t xml:space="preserve">Accessibilité du parcours public et de la caisse.</t>
  </si>
  <si>
    <t xml:space="preserve">WCAG 2.1 AA ; navigation clavier ; contrastes conformes.</t>
  </si>
  <si>
    <t xml:space="preserve">Composants accessibles ; axe-core dans Playwright.</t>
  </si>
  <si>
    <t xml:space="preserve">Messages d'erreur API explicites et localisables.</t>
  </si>
  <si>
    <t xml:space="preserve">Audit automatisé + vérification manuelle sur le parcours nominal.</t>
  </si>
  <si>
    <t xml:space="preserve">US-011 à US-017, US-023, US-026</t>
  </si>
  <si>
    <t xml:space="preserve">NFR-071</t>
  </si>
  <si>
    <t xml:space="preserve">Mobile d'abord, y compris pour le partenaire en caisse.</t>
  </si>
  <si>
    <t xml:space="preserve">Écrans utilisables dès 360 px ; cibles tactiles ≥ 44 px ; back-office de vérification utilisable sur smartphone.</t>
  </si>
  <si>
    <t xml:space="preserve">Mise en page responsive, CSS logique.</t>
  </si>
  <si>
    <t xml:space="preserve">Recette sur appareils réels Android et iOS.</t>
  </si>
  <si>
    <t xml:space="preserve">US-011, US-026</t>
  </si>
  <si>
    <t xml:space="preserve">NFR-072</t>
  </si>
  <si>
    <t xml:space="preserve">Compatibilité navigateurs.</t>
  </si>
  <si>
    <t xml:space="preserve">2 dernières versions de Chrome, Safari iOS, Samsung Internet, Firefox ; Android 10+ et iOS 16+.</t>
  </si>
  <si>
    <t xml:space="preserve">Browserslist aligné ; polyfills au besoin.</t>
  </si>
  <si>
    <t xml:space="preserve">Projets Playwright multi-navigateurs.</t>
  </si>
  <si>
    <t xml:space="preserve">NFR-080</t>
  </si>
  <si>
    <t xml:space="preserve">Application entièrement traduisible.</t>
  </si>
  <si>
    <t xml:space="preserve">0 chaîne en dur ; clés manquantes détectées en CI ; URLs localisées /fr, /ar, /en avec hreflang.</t>
  </si>
  <si>
    <t xml:space="preserve">next-intl (ou équivalent) ; middleware de résolution de langue (US-040).</t>
  </si>
  <si>
    <t xml:space="preserve">MessageSource pour emails et erreurs ; modèles d'email par locale.</t>
  </si>
  <si>
    <t xml:space="preserve">Règle de lint et contrôle des catalogues en CI.</t>
  </si>
  <si>
    <t xml:space="preserve">NFR-081</t>
  </si>
  <si>
    <t xml:space="preserve">Arabe RTL sans régression.</t>
  </si>
  <si>
    <t xml:space="preserve">Captures fr et ar comparées sur les écrans clés à chaque PR d'interface.</t>
  </si>
  <si>
    <t xml:space="preserve">dir=rtl sur &lt;html&gt; ; propriétés CSS logiques (margin-inline-start…) ; variantes rtl: de Tailwind si utilisé ; isolation des références et montants.</t>
  </si>
  <si>
    <t xml:space="preserve">Emails RTL dans les modèles ar-MA.</t>
  </si>
  <si>
    <t xml:space="preserve">Tests de régression visuelle Playwright.</t>
  </si>
  <si>
    <t xml:space="preserve">NFR-082</t>
  </si>
  <si>
    <t xml:space="preserve">Typographie arabe de qualité.</t>
  </si>
  <si>
    <t xml:space="preserve">Police couvrant latin et arabe, auto-hébergée et réduite aux glyphes utiles.</t>
  </si>
  <si>
    <t xml:space="preserve">next/font en local.</t>
  </si>
  <si>
    <t xml:space="preserve">Police intégrée dans les emails avec repli système.</t>
  </si>
  <si>
    <t xml:space="preserve">Revue visuelle par un locuteur natif.</t>
  </si>
  <si>
    <t xml:space="preserve">NFR-090</t>
  </si>
  <si>
    <t xml:space="preserve">Conformité</t>
  </si>
  <si>
    <t xml:space="preserve">Protection des données personnelles (loi 09-08).</t>
  </si>
  <si>
    <t xml:space="preserve">Registre des traitements ; formalités CNDP faites ; hébergement et transferts documentés (D-10) ; demandes des personnes traitables dans le délai légal.</t>
  </si>
  <si>
    <t xml:space="preserve">Mentions d'information aux points de collecte.</t>
  </si>
  <si>
    <t xml:space="preserve">Fonctions d'export et d'anonymisation par personne.</t>
  </si>
  <si>
    <t xml:space="preserve">Revue juridique avant go-live.</t>
  </si>
  <si>
    <t xml:space="preserve">US-056, US-057</t>
  </si>
  <si>
    <t xml:space="preserve">NFR-091</t>
  </si>
  <si>
    <t xml:space="preserve">Chiffrement en transit et au repos.</t>
  </si>
  <si>
    <t xml:space="preserve">TLS 1.2+ partout, y compris entre services ; disques et sauvegardes chiffrés ; colonnes sensibles chiffrées applicativement.</t>
  </si>
  <si>
    <t xml:space="preserve">HTTPS uniquement.</t>
  </si>
  <si>
    <t xml:space="preserve">TLS vers la base ; chiffrement de colonnes (NFR-004).</t>
  </si>
  <si>
    <t xml:space="preserve">Scan de configuration TLS.</t>
  </si>
  <si>
    <t xml:space="preserve">NFR-092</t>
  </si>
  <si>
    <t xml:space="preserve">Durées de conservation appliquées.</t>
  </si>
  <si>
    <t xml:space="preserve">Logs techniques 90 jours ; données personnelles selon D-10 ; audit métier selon obligations comptables.</t>
  </si>
  <si>
    <t xml:space="preserve">Traitements planifiés de purge et d'anonymisation (US-057).</t>
  </si>
  <si>
    <t xml:space="preserve">Contrôle trimestriel.</t>
  </si>
  <si>
    <t xml:space="preserve">NFR-093</t>
  </si>
  <si>
    <t xml:space="preserve">Accès aux environnements maîtrisés.</t>
  </si>
  <si>
    <t xml:space="preserve">Séparation stricte des environnements ; accès production nominatif, avec MFA, journalisé ; moindre privilège.</t>
  </si>
  <si>
    <t xml:space="preserve">Comptes de service distincts par environnement.</t>
  </si>
  <si>
    <t xml:space="preserve">Revue des accès mensuelle.</t>
  </si>
  <si>
    <t xml:space="preserve">NFR-100</t>
  </si>
  <si>
    <t xml:space="preserve">Portabilité</t>
  </si>
  <si>
    <t xml:space="preserve">Livraison reproductible.</t>
  </si>
  <si>
    <t xml:space="preserve">Images Docker reproductibles ; infrastructure en code (Terraform) ; même artefact promu de la recette à la production.</t>
  </si>
  <si>
    <t xml:space="preserve">Image Next.js en mode standalone.</t>
  </si>
  <si>
    <t xml:space="preserve">Image Spring Boot en couches (layered jar) ou buildpacks.</t>
  </si>
  <si>
    <t xml:space="preserve">Pipeline de promotion.</t>
  </si>
  <si>
    <t xml:space="preserve">NFR-101</t>
  </si>
  <si>
    <t xml:space="preserve">Intégration et déploiement continus.</t>
  </si>
  <si>
    <t xml:space="preserve">Pipeline &lt; 15 min jusqu'à la recette ; trunk-based ; PR avec ≥ 1 revue humaine ; production sur approbation manuelle.</t>
  </si>
  <si>
    <t xml:space="preserve">Build, lint, tests, Lighthouse.</t>
  </si>
  <si>
    <t xml:space="preserve">Build Maven / Gradle, tests, Sonar, sécurité.</t>
  </si>
  <si>
    <t xml:space="preserve">Mesuré par la CI.</t>
  </si>
  <si>
    <t xml:space="preserve">NFR-102</t>
  </si>
  <si>
    <t xml:space="preserve">Exploitabilité</t>
  </si>
  <si>
    <t xml:space="preserve">Coût d'infrastructure suivi.</t>
  </si>
  <si>
    <t xml:space="preserve">Budget mensuel MVP défini ; alerte à 80 % du budget.</t>
  </si>
  <si>
    <t xml:space="preserve">Revue mensuelle.</t>
  </si>
  <si>
    <t xml:space="preserve">KOADOOO | Journal de revue BA</t>
  </si>
  <si>
    <t xml:space="preserve">Constats de la revue du backlog v1.0 du 16/10/2026 et corrections intégrées</t>
  </si>
  <si>
    <t xml:space="preserve">Constat sur la v1.0</t>
  </si>
  <si>
    <t xml:space="preserve">Impact</t>
  </si>
  <si>
    <t xml:space="preserve">Correction apportée en v1.1</t>
  </si>
  <si>
    <t xml:space="preserve">Où</t>
  </si>
  <si>
    <t xml:space="preserve">R-01</t>
  </si>
  <si>
    <t xml:space="preserve">Les 46 descriptions se terminent toutes par « afin de réaliser le parcours métier KOADOOO de manière fiable et traçable ».</t>
  </si>
  <si>
    <t xml:space="preserve">La valeur métier de chaque US est absente ; difficile d'arbitrer et de tester.</t>
  </si>
  <si>
    <t xml:space="preserve">Chaque US réécrite avec un bénéfice propre (« afin de … »).</t>
  </si>
  <si>
    <t xml:space="preserve">R-02</t>
  </si>
  <si>
    <t xml:space="preserve">Personas génériques ou erronés : US-004/005 « Admin / Partenaire », US-029 « Partenaire », US-030/031 « Admin / Partenaire », EP12 « Tous / Partenaire / Système ».</t>
  </si>
  <si>
    <t xml:space="preserve">Droits d'accès ambigus pour le développement et la recette.</t>
  </si>
  <si>
    <t xml:space="preserve">Un persona précis par US (Admin KOADOOO, Gestionnaire partenaire, Acheteur, Bénéficiaire, Système, Tous).</t>
  </si>
  <si>
    <t xml:space="preserve">R-03</t>
  </si>
  <si>
    <t xml:space="preserve">46 US sur 46 en P0.</t>
  </si>
  <si>
    <t xml:space="preserve">Aucun arbitrage possible si le planning glisse.</t>
  </si>
  <si>
    <t xml:space="preserve">Définition P0 / P1 / P2 (onglet 01) et re-priorisation : voir comptage.</t>
  </si>
  <si>
    <t xml:space="preserve">R-04</t>
  </si>
  <si>
    <t xml:space="preserve">Critères non testables (ex. « Fiche créée, modifiable, activable », « Montants corrects et traçables »).</t>
  </si>
  <si>
    <t xml:space="preserve">Recette subjective ; risque de « fini » non partagé.</t>
  </si>
  <si>
    <t xml:space="preserve">2 à 5 critères Étant donné / quand / alors par US, avec cas d'erreur et exemples chiffrés.</t>
  </si>
  <si>
    <t xml:space="preserve">R-05</t>
  </si>
  <si>
    <t xml:space="preserve">Pilotage</t>
  </si>
  <si>
    <t xml:space="preserve">Estimations, responsables et dépendances vides.</t>
  </si>
  <si>
    <t xml:space="preserve">Planification impossible.</t>
  </si>
  <si>
    <t xml:space="preserve">Estimation indicative en points (Fibonacci) et dépendances renseignées ; responsables à attribuer.</t>
  </si>
  <si>
    <t xml:space="preserve">R-06</t>
  </si>
  <si>
    <t xml:space="preserve">Modèle de données</t>
  </si>
  <si>
    <t xml:space="preserve">Entités utilisées dans les US mais absentes du modèle : PartnerCommission, PartnerProfile, OfferLink, PasswordResetToken, GiftCardView, FinancialTransaction, Notification.</t>
  </si>
  <si>
    <t xml:space="preserve">Modèle incomplet, risque d'incohérence technique.</t>
  </si>
  <si>
    <t xml:space="preserve">Modèle consolidé (onglet 05) avec contraintes d'unicité.</t>
  </si>
  <si>
    <t xml:space="preserve">R-07</t>
  </si>
  <si>
    <t xml:space="preserve">TransactionCommission (onglet Métier, US-019) et FinancialTransaction (US-020) se recouvrent.</t>
  </si>
  <si>
    <t xml:space="preserve">Double source de vérité financière.</t>
  </si>
  <si>
    <t xml:space="preserve">Fusion dans FinancialTransaction.</t>
  </si>
  <si>
    <t xml:space="preserve">US-019, US-020</t>
  </si>
  <si>
    <t xml:space="preserve">R-08</t>
  </si>
  <si>
    <t xml:space="preserve">GiftRecipient / Personalization fusionnés dans l'onglet Métier mais séparés dans les US.</t>
  </si>
  <si>
    <t xml:space="preserve">Ambiguïté de conception.</t>
  </si>
  <si>
    <t xml:space="preserve">Deux entités 1:1 avec Order, alignées sur les US.</t>
  </si>
  <si>
    <t xml:space="preserve">R-09</t>
  </si>
  <si>
    <t xml:space="preserve">Cycles de vie</t>
  </si>
  <si>
    <t xml:space="preserve">Statuts partiels : seuls PENDING_PAYMENT, ACTIVE et DRAFT/ACTIVE/SUSPENDED sont cités.</t>
  </si>
  <si>
    <t xml:space="preserve">Comportements non spécifiés (expiration commande, remboursement, blocage…).</t>
  </si>
  <si>
    <t xml:space="preserve">Toutes les transitions décrites (onglet 04).</t>
  </si>
  <si>
    <t xml:space="preserve">R-10</t>
  </si>
  <si>
    <t xml:space="preserve">Séquencement</t>
  </si>
  <si>
    <t xml:space="preserve">US-044 (notifications localisées) en Lot 4 alors que US-002 et US-003 envoient des emails dès le Lot 1.</t>
  </si>
  <si>
    <t xml:space="preserve">Blocage du Lot 1.</t>
  </si>
  <si>
    <t xml:space="preserve">US-044 déplacée en Lot 1.</t>
  </si>
  <si>
    <t xml:space="preserve">R-11</t>
  </si>
  <si>
    <t xml:space="preserve">US-038 (audit) en Lot 5 alors que toutes les US précédentes doivent journaliser.</t>
  </si>
  <si>
    <t xml:space="preserve">Reprise coûteuse en fin de projet.</t>
  </si>
  <si>
    <t xml:space="preserve">US-038 déplacée en Lot 1.</t>
  </si>
  <si>
    <t xml:space="preserve">R-12</t>
  </si>
  <si>
    <t xml:space="preserve">US-036 (confirmation d'achat) en Lot 5 alors qu'elle fait partie du parcours nominal.</t>
  </si>
  <si>
    <t xml:space="preserve">Parcours nominal incomplet avant le Lot 5.</t>
  </si>
  <si>
    <t xml:space="preserve">US-036 déplacée en Lot 4.</t>
  </si>
  <si>
    <t xml:space="preserve">R-13</t>
  </si>
  <si>
    <t xml:space="preserve">US-021 (reversements) en P0 Lot 3 alors que le premier reversement n'a lieu qu'à la fin de la première période.</t>
  </si>
  <si>
    <t xml:space="preserve">Charge inutile sur le chemin critique.</t>
  </si>
  <si>
    <t xml:space="preserve">US-021 en P1, Lot 5.</t>
  </si>
  <si>
    <t xml:space="preserve">R-14</t>
  </si>
  <si>
    <t xml:space="preserve">redemptionCodeHash : un hash salé (bcrypt) empêche de retrouver la carte à partir du code saisi.</t>
  </si>
  <si>
    <t xml:space="preserve">Vérification impossible ou lente.</t>
  </si>
  <si>
    <t xml:space="preserve">HMAC-SHA256 avec clé secrète ; distinction référence publique / code secret.</t>
  </si>
  <si>
    <t xml:space="preserve">US-022, US-026</t>
  </si>
  <si>
    <t xml:space="preserve">R-15</t>
  </si>
  <si>
    <t xml:space="preserve">Aucune protection contre l'essai massif de codes.</t>
  </si>
  <si>
    <t xml:space="preserve">Fraude : découverte de cartes valides.</t>
  </si>
  <si>
    <t xml:space="preserve">Nouvelle US-052 (limitation des tentatives).</t>
  </si>
  <si>
    <t xml:space="preserve">R-16</t>
  </si>
  <si>
    <t xml:space="preserve">Aucun renforcement des comptes Admin, qui voient toutes les données financières.</t>
  </si>
  <si>
    <t xml:space="preserve">Risque élevé en cas de vol de mot de passe.</t>
  </si>
  <si>
    <t xml:space="preserve">Nouvelle US-047 (MFA Admin).</t>
  </si>
  <si>
    <t xml:space="preserve">R-17</t>
  </si>
  <si>
    <t xml:space="preserve">Couverture</t>
  </si>
  <si>
    <t xml:space="preserve">Rien ne traite les commandes jamais payées.</t>
  </si>
  <si>
    <t xml:space="preserve">Commandes PENDING éternelles, KPI faussés.</t>
  </si>
  <si>
    <t xml:space="preserve">Nouvelle US-048.</t>
  </si>
  <si>
    <t xml:space="preserve">R-18</t>
  </si>
  <si>
    <t xml:space="preserve">Une notification PSP perdue laisse un client débité sans carte.</t>
  </si>
  <si>
    <t xml:space="preserve">Réclamations, perte de confiance.</t>
  </si>
  <si>
    <t xml:space="preserve">Nouvelle US-049 (rapprochement).</t>
  </si>
  <si>
    <t xml:space="preserve">R-19</t>
  </si>
  <si>
    <t xml:space="preserve">Remboursement cité comme décision ouverte mais aucune US ni statut associé.</t>
  </si>
  <si>
    <t xml:space="preserve">Pas de réponse aux litiges ; comptes faussés.</t>
  </si>
  <si>
    <t xml:space="preserve">Nouvelles US-050 et US-051 + D-03.</t>
  </si>
  <si>
    <t xml:space="preserve">US-050, US-051</t>
  </si>
  <si>
    <t xml:space="preserve">R-20</t>
  </si>
  <si>
    <t xml:space="preserve">Aucun support en cas de non-réception (email erroné, rebond).</t>
  </si>
  <si>
    <t xml:space="preserve">Cartes payées inutilisables.</t>
  </si>
  <si>
    <t xml:space="preserve">Nouvelle US-053.</t>
  </si>
  <si>
    <t xml:space="preserve">R-21</t>
  </si>
  <si>
    <t xml:space="preserve">Le partenaire n'a aucune liste de ses ventes (seulement des KPI).</t>
  </si>
  <si>
    <t xml:space="preserve">Suivi opérationnel impossible.</t>
  </si>
  <si>
    <t xml:space="preserve">Nouvelle US-054.</t>
  </si>
  <si>
    <t xml:space="preserve">R-22</t>
  </si>
  <si>
    <t xml:space="preserve">US-006 et US-008 supposent des médias « validés » sans US de téléversement.</t>
  </si>
  <si>
    <t xml:space="preserve">Besoin caché.</t>
  </si>
  <si>
    <t xml:space="preserve">Nouvelle US-059.</t>
  </si>
  <si>
    <t xml:space="preserve">R-23</t>
  </si>
  <si>
    <t xml:space="preserve">US-017 exige un consentement mais aucune US ne gère CGV, mentions légales ni loi 09-08.</t>
  </si>
  <si>
    <t xml:space="preserve">Blocage de la mise en production (PSP, CNDP).</t>
  </si>
  <si>
    <t xml:space="preserve">Nouvel EP13 : US-056, US-057, US-060 + D-10.</t>
  </si>
  <si>
    <t xml:space="preserve">R-24</t>
  </si>
  <si>
    <t xml:space="preserve">Règles métier</t>
  </si>
  <si>
    <t xml:space="preserve">Fuseau et heure d'expiration non définis (US-029).</t>
  </si>
  <si>
    <t xml:space="preserve">Litiges en caisse le dernier jour.</t>
  </si>
  <si>
    <t xml:space="preserve">Expiration à 23:59:59 heure du Maroc.</t>
  </si>
  <si>
    <t xml:space="preserve">US-022, US-029</t>
  </si>
  <si>
    <t xml:space="preserve">R-25</t>
  </si>
  <si>
    <t xml:space="preserve">faceValue et salePrice coexistent sans règle.</t>
  </si>
  <si>
    <t xml:space="preserve">Interprétations divergentes (remise ?).</t>
  </si>
  <si>
    <t xml:space="preserve">salePrice ≤ faceValue ; égalité au MVP.</t>
  </si>
  <si>
    <t xml:space="preserve">R-26</t>
  </si>
  <si>
    <t xml:space="preserve">Moment du figement du taux ambigu (« à la vente »).</t>
  </si>
  <si>
    <t xml:space="preserve">Écarts de commission si le taux change pendant l'attente de paiement.</t>
  </si>
  <si>
    <t xml:space="preserve">Figé à la création de la commande.</t>
  </si>
  <si>
    <t xml:space="preserve">US-005, US-014, US-019</t>
  </si>
  <si>
    <t xml:space="preserve">R-27</t>
  </si>
  <si>
    <t xml:space="preserve">Sort des fonds des cartes expirées et fait générateur du reversement non traités.</t>
  </si>
  <si>
    <t xml:space="preserve">Impact financier et contractuel majeur.</t>
  </si>
  <si>
    <t xml:space="preserve">Nouvelles décisions D-08 et D-11.</t>
  </si>
  <si>
    <t xml:space="preserve">R-28</t>
  </si>
  <si>
    <t xml:space="preserve">Paiement confirmé après expiration de la commande non prévu.</t>
  </si>
  <si>
    <t xml:space="preserve">Client débité sans carte.</t>
  </si>
  <si>
    <t xml:space="preserve">Accepté, commande PAID (US-048).</t>
  </si>
  <si>
    <t xml:space="preserve">R-29</t>
  </si>
  <si>
    <t xml:space="preserve">US-037 : destinataire de la notification d'utilisation non précisé.</t>
  </si>
  <si>
    <t xml:space="preserve">Choix laissé au développeur.</t>
  </si>
  <si>
    <t xml:space="preserve">Acheteur, selon son choix (D-13).</t>
  </si>
  <si>
    <t xml:space="preserve">R-30</t>
  </si>
  <si>
    <t xml:space="preserve">Aucune exigence non fonctionnelle (performance, disponibilité, accessibilité, sécurité).</t>
  </si>
  <si>
    <t xml:space="preserve">Qualité non mesurable.</t>
  </si>
  <si>
    <t xml:space="preserve">Onglet 07.</t>
  </si>
  <si>
    <t xml:space="preserve">07 - Exigences non fonct.</t>
  </si>
  <si>
    <t xml:space="preserve">R-31</t>
  </si>
  <si>
    <t xml:space="preserve">Cohérence</t>
  </si>
  <si>
    <t xml:space="preserve">Le produit s'appelle KOADOOO dans le backlog et Kadooo dans le projet / Jira.</t>
  </si>
  <si>
    <t xml:space="preserve">Incohérence de marque et de nommage technique.</t>
  </si>
  <si>
    <t xml:space="preserve">Décision D-14.</t>
  </si>
  <si>
    <t xml:space="preserve">KOADOOO | Cycle de développement assisté par l'IA</t>
  </si>
  <si>
    <t xml:space="preserve">Approche de l'équipe Next.js + Java · l'IA accélère chaque phase, l'humain reste responsable et décide</t>
  </si>
  <si>
    <t xml:space="preserve">PRINCIPES</t>
  </si>
  <si>
    <t xml:space="preserve">L'IA propose, l'humain décide</t>
  </si>
  <si>
    <t xml:space="preserve">Chaque artefact produit avec l'IA (spécification, code, test, document) a un responsable humain nommé qui le relit et le valide. L'IA ne peut jamais approuver une PR ni déployer en production.</t>
  </si>
  <si>
    <t xml:space="preserve">La spécification d'abord</t>
  </si>
  <si>
    <t xml:space="preserve">L'IA travaille à partir d'une US prête (ID, règles de gestion, critères d'acceptation, décisions liées). Pas de code sans US ; toute hypothèse ajoutée par l'IA est signalée et validée par le PO.</t>
  </si>
  <si>
    <t xml:space="preserve">Les tests avant le code</t>
  </si>
  <si>
    <t xml:space="preserve">Les critères d'acceptation sont transformés en tests (rouges) avant l'implémentation ; le code est accepté quand ces tests passent et ont été relus.</t>
  </si>
  <si>
    <t xml:space="preserve">Un contexte maîtrisé</t>
  </si>
  <si>
    <t xml:space="preserve">Le dépôt contient les fichiers de contexte lus par les agents : conventions, architecture, glossaire, ADR, commandes de build et de test, liste des zones sensibles.</t>
  </si>
  <si>
    <t xml:space="preserve">Confidentialité</t>
  </si>
  <si>
    <t xml:space="preserve">Aucune donnée de production, donnée personnelle, secret ou RIB dans les prompts. Seuls des outils approuvés, sous contrat entreprise sans réutilisation des données pour l'entraînement.</t>
  </si>
  <si>
    <t xml:space="preserve">Zones sensibles renforcées</t>
  </si>
  <si>
    <t xml:space="preserve">Paiement, émission, utilisation, commission, authentification, cryptographie : l'IA peut assister, mais revue obligatoire par un senior + un second relecteur, tests de concurrence et de sécurité exigés.</t>
  </si>
  <si>
    <t xml:space="preserve">Branches, commits et PR portent l'ID de l'US ; l'assistance IA est indiquée dans la PR ; les prompts et commandes réutilisables sont versionnés dans le dépôt.</t>
  </si>
  <si>
    <t xml:space="preserve">Mesurer pour ajuster</t>
  </si>
  <si>
    <t xml:space="preserve">L'apport de l'IA est mesuré (délai, qualité, défauts échappés) et la pratique ajustée à chaque rétrospective.</t>
  </si>
  <si>
    <t xml:space="preserve">MATRICE PAR PHASE DU SDLC</t>
  </si>
  <si>
    <t xml:space="preserve">Phase</t>
  </si>
  <si>
    <t xml:space="preserve">Activités assistées par l'IA</t>
  </si>
  <si>
    <t xml:space="preserve">Outils (exemples)</t>
  </si>
  <si>
    <t xml:space="preserve">Artefacts produits</t>
  </si>
  <si>
    <t xml:space="preserve">Contrôle humain (gate)</t>
  </si>
  <si>
    <t xml:space="preserve">Garde-fous</t>
  </si>
  <si>
    <t xml:space="preserve">Indicateurs</t>
  </si>
  <si>
    <t xml:space="preserve">1. Exigences et backlog</t>
  </si>
  <si>
    <t xml:space="preserve">Analyse du backlog, détection d'incohérences, rédaction des critères d'acceptation, découpage d'US, cas limites, synchronisation avec Jira.</t>
  </si>
  <si>
    <t xml:space="preserve">Assistant conversationnel (ex. Claude) + connecteur Jira.</t>
  </si>
  <si>
    <t xml:space="preserve">US prêtes, critères Étant donné / quand / alors, questions ouvertes.</t>
  </si>
  <si>
    <t xml:space="preserve">Le PO valide chaque US (Definition of Ready).</t>
  </si>
  <si>
    <t xml:space="preserve">Aucune règle métier inventée : toute hypothèse est marquée et reliée à une décision.</t>
  </si>
  <si>
    <t xml:space="preserve">% d'US prêtes en début de sprint ; US rouvertes.</t>
  </si>
  <si>
    <t xml:space="preserve">2. Architecture et design</t>
  </si>
  <si>
    <t xml:space="preserve">Comparaison d'options, rédaction d'ADR, modèle de données, contrats OpenAPI, modélisation des menaces (STRIDE).</t>
  </si>
  <si>
    <t xml:space="preserve">Assistant conversationnel ; agent de code pour les squelettes de contrat.</t>
  </si>
  <si>
    <t xml:space="preserve">ADR, OpenAPI, schéma de données, modèle de menaces.</t>
  </si>
  <si>
    <t xml:space="preserve">L'architecte valide ; revue sécurité pour les flux sensibles.</t>
  </si>
  <si>
    <t xml:space="preserve">Au moins 2 options comparées ; aucune décision prise par l'IA seule.</t>
  </si>
  <si>
    <t xml:space="preserve">Nombre d'ADR ; reprises d'architecture.</t>
  </si>
  <si>
    <t xml:space="preserve">3. UX / UI et contenus</t>
  </si>
  <si>
    <t xml:space="preserve">Maquettes à partir des US, textes d'interface, traductions fr / ar / en, vérification RTL.</t>
  </si>
  <si>
    <t xml:space="preserve">Outil de design + assistant IA.</t>
  </si>
  <si>
    <t xml:space="preserve">Maquettes, catalogues de traduction.</t>
  </si>
  <si>
    <t xml:space="preserve">UX valide ; un locuteur natif arabe valide les textes arabes.</t>
  </si>
  <si>
    <t xml:space="preserve">Traductions métier et juridiques toujours relues par un humain.</t>
  </si>
  <si>
    <t xml:space="preserve">Défauts i18n trouvés en recette.</t>
  </si>
  <si>
    <t xml:space="preserve">4. Développement Next.js</t>
  </si>
  <si>
    <t xml:space="preserve">Génération de pages et composants, intégration du client API généré, i18n, tests Vitest et Playwright.</t>
  </si>
  <si>
    <t xml:space="preserve">Agent de code (ex. Claude Code) dans le terminal ou l'IDE.</t>
  </si>
  <si>
    <t xml:space="preserve">Code, tests, captures RTL.</t>
  </si>
  <si>
    <t xml:space="preserve">Revue de PR par un développeur front.</t>
  </si>
  <si>
    <t xml:space="preserve">Lint strict, aucune logique métier côté front, pas de dangerouslySetInnerHTML.</t>
  </si>
  <si>
    <t xml:space="preserve">Délai US ; défauts front.</t>
  </si>
  <si>
    <t xml:space="preserve">5. Développement Java</t>
  </si>
  <si>
    <t xml:space="preserve">Entités, migrations Flyway, services, contrôleurs, tests JUnit / Testcontainers à partir des critères d'acceptation, refactoring.</t>
  </si>
  <si>
    <t xml:space="preserve">Agent de code (ex. Claude Code).</t>
  </si>
  <si>
    <t xml:space="preserve">Code, migrations, tests.</t>
  </si>
  <si>
    <t xml:space="preserve">Revue de PR ; zones sensibles : senior + second relecteur.</t>
  </si>
  <si>
    <t xml:space="preserve">ArchUnit et quality gate Sonar bloquants ; migration déjà déployée jamais modifiée.</t>
  </si>
  <si>
    <t xml:space="preserve">Couverture des modules critiques ; défauts back.</t>
  </si>
  <si>
    <t xml:space="preserve">6. Revue de code</t>
  </si>
  <si>
    <t xml:space="preserve">Revue automatique de chaque PR : bugs probables, sécurité, conventions, couverture des critères d'acceptation.</t>
  </si>
  <si>
    <t xml:space="preserve">Bot de revue IA dans la CI.</t>
  </si>
  <si>
    <t xml:space="preserve">Commentaires sur la PR.</t>
  </si>
  <si>
    <t xml:space="preserve">Un humain approuve toujours ; l'IA ne peut pas approuver.</t>
  </si>
  <si>
    <t xml:space="preserve">La revue IA complète la revue humaine sans la remplacer.</t>
  </si>
  <si>
    <t xml:space="preserve">Défauts trouvés en revue vs en recette.</t>
  </si>
  <si>
    <t xml:space="preserve">7. Tests et qualité</t>
  </si>
  <si>
    <t xml:space="preserve">Scénarios de test depuis les critères d'acceptation, données synthétiques, analyse des tests instables, aide aux tests exploratoires.</t>
  </si>
  <si>
    <t xml:space="preserve">Agent de code + assistant.</t>
  </si>
  <si>
    <t xml:space="preserve">Plans de test, matrice critère ↔ test, jeux de données.</t>
  </si>
  <si>
    <t xml:space="preserve">Le QA valide la couverture de chaque critère.</t>
  </si>
  <si>
    <t xml:space="preserve">Données synthétiques uniquement.</t>
  </si>
  <si>
    <t xml:space="preserve">% de critères automatisés ; défauts échappés.</t>
  </si>
  <si>
    <t xml:space="preserve">8. Sécurité</t>
  </si>
  <si>
    <t xml:space="preserve">Tri assisté des alertes SAST / DAST / dépendances, revue IA ciblée des PR sensibles, aide au modèle de menaces.</t>
  </si>
  <si>
    <t xml:space="preserve">SonarQube, OWASP ZAP, Dependency-Check + assistant IA.</t>
  </si>
  <si>
    <t xml:space="preserve">Rapports de sécurité triés.</t>
  </si>
  <si>
    <t xml:space="preserve">Le responsable sécurité valide ; test d'intrusion humain avant go-live.</t>
  </si>
  <si>
    <t xml:space="preserve">L'IA ne clôt jamais une alerte seule.</t>
  </si>
  <si>
    <t xml:space="preserve">Vulnérabilités ouvertes ; délai de correction.</t>
  </si>
  <si>
    <t xml:space="preserve">9. Documentation</t>
  </si>
  <si>
    <t xml:space="preserve">README, documentation d'API, runbooks, notes de version générés à partir du code et des PR.</t>
  </si>
  <si>
    <t xml:space="preserve">Agent de code.</t>
  </si>
  <si>
    <t xml:space="preserve">Documentation versionnée dans le dépôt.</t>
  </si>
  <si>
    <t xml:space="preserve">Relecture par l'auteur du module.</t>
  </si>
  <si>
    <t xml:space="preserve">La documentation suit le code dans la même PR.</t>
  </si>
  <si>
    <t xml:space="preserve">Fraîcheur de la documentation.</t>
  </si>
  <si>
    <t xml:space="preserve">10. CI/CD et infrastructure</t>
  </si>
  <si>
    <t xml:space="preserve">Pipelines, Dockerfiles, Terraform, analyse des échecs de build.</t>
  </si>
  <si>
    <t xml:space="preserve">Pipelines, infrastructure en code.</t>
  </si>
  <si>
    <t xml:space="preserve">Revue DevOps ; plan Terraform approuvé avant application.</t>
  </si>
  <si>
    <t xml:space="preserve">Aucun accès des agents aux identifiants de production.</t>
  </si>
  <si>
    <t xml:space="preserve">Durée du pipeline ; taux d'échec.</t>
  </si>
  <si>
    <t xml:space="preserve">11. Exploitation</t>
  </si>
  <si>
    <t xml:space="preserve">Synthèse d'incidents, analyse de logs et traces, aide aux post-mortems.</t>
  </si>
  <si>
    <t xml:space="preserve">Assistant IA sur les journaux exportés (sans données personnelles).</t>
  </si>
  <si>
    <t xml:space="preserve">Post-mortems, actions correctives.</t>
  </si>
  <si>
    <t xml:space="preserve">L'astreinte décide de toute action ; aucune action automatique en production.</t>
  </si>
  <si>
    <t xml:space="preserve">Logs masqués avant analyse.</t>
  </si>
  <si>
    <t xml:space="preserve">Délai de rétablissement (MTTR).</t>
  </si>
  <si>
    <t xml:space="preserve">12. Pilotage</t>
  </si>
  <si>
    <t xml:space="preserve">Synthèses de sprint, mise à jour de Jira, rapports d'avancement, détection de risques.</t>
  </si>
  <si>
    <t xml:space="preserve">Assistant + connecteur Jira.</t>
  </si>
  <si>
    <t xml:space="preserve">Rapports, tableaux de bord.</t>
  </si>
  <si>
    <t xml:space="preserve">Le PM / Scrum Master valide.</t>
  </si>
  <si>
    <t xml:space="preserve">Prévisibilité des sprints.</t>
  </si>
  <si>
    <t xml:space="preserve">FLUX DE TRAVAIL POUR CHAQUE USER STORY</t>
  </si>
  <si>
    <t xml:space="preserve">1. Préparer</t>
  </si>
  <si>
    <t xml:space="preserve">L'US est prête (DoR) dans Jira : critères d'acceptation validés, décisions liées tranchées ou hypothèse acceptée.</t>
  </si>
  <si>
    <t xml:space="preserve">2. Planifier</t>
  </si>
  <si>
    <t xml:space="preserve">L'agent lit l'US, les règles, le contexte du dépôt et propose un plan technique : fichiers, migrations, endpoints, tests. Le développeur valide ou corrige le plan.</t>
  </si>
  <si>
    <t xml:space="preserve">3. Tester d'abord</t>
  </si>
  <si>
    <t xml:space="preserve">L'agent écrit les tests correspondant à chaque critère d'acceptation (rouges). Le développeur les relit : ils traduisent fidèlement les critères.</t>
  </si>
  <si>
    <t xml:space="preserve">4. Implémenter</t>
  </si>
  <si>
    <t xml:space="preserve">L'agent implémente par petites itérations jusqu'à ce que les tests passent, en respectant les frontières de modules et les conventions.</t>
  </si>
  <si>
    <t xml:space="preserve">5. Contrôler</t>
  </si>
  <si>
    <t xml:space="preserve">Linters, quality gate, ArchUnit, tests de sécurité et i18n s'exécutent ; l'agent fait une auto-revue et corrige.</t>
  </si>
  <si>
    <t xml:space="preserve">6. Revoir</t>
  </si>
  <si>
    <t xml:space="preserve">PR avec l'ID de l'US, un résumé et la mention de l'assistance IA ; revue IA automatique puis revue humaine (senior + second relecteur en zone sensible).</t>
  </si>
  <si>
    <t xml:space="preserve">7. Intégrer</t>
  </si>
  <si>
    <t xml:space="preserve">Merge après CI verte, déploiement automatique en recette ; E2E du parcours nominal.</t>
  </si>
  <si>
    <t xml:space="preserve">8. Valider</t>
  </si>
  <si>
    <t xml:space="preserve">Le QA et le PO vérifient les critères en recette ; l'US passe « Terminé » dans Jira selon la Definition of Done.</t>
  </si>
  <si>
    <t xml:space="preserve">RÔLES ET RESPONSABILITÉS</t>
  </si>
  <si>
    <t xml:space="preserve">Product Owner</t>
  </si>
  <si>
    <t xml:space="preserve">Valide les US et les hypothèses proposées par l'IA ; tranche les décisions ; accepte les US en recette.</t>
  </si>
  <si>
    <t xml:space="preserve">Architecte</t>
  </si>
  <si>
    <t xml:space="preserve">Maintient les fichiers de contexte, les ADR et les règles d'architecture automatiques ; valide les choix structurants.</t>
  </si>
  <si>
    <t xml:space="preserve">Tech lead Java</t>
  </si>
  <si>
    <t xml:space="preserve">Responsable des modules backend et des zones sensibles ; second relecteur des PR paiement, émission, utilisation, commission.</t>
  </si>
  <si>
    <t xml:space="preserve">Tech lead Next.js</t>
  </si>
  <si>
    <t xml:space="preserve">Responsable des conventions front, de l'i18n / RTL et des performances ; maintient les commandes IA front.</t>
  </si>
  <si>
    <t xml:space="preserve">Développeurs</t>
  </si>
  <si>
    <t xml:space="preserve">Pilotent les agents, relisent chaque ligne produite, restent auteurs et responsables du code.</t>
  </si>
  <si>
    <t xml:space="preserve">QA</t>
  </si>
  <si>
    <t xml:space="preserve">Valide la matrice critère ↔ test, mène les tests exploratoires et la recette fr / ar.</t>
  </si>
  <si>
    <t xml:space="preserve">DevOps</t>
  </si>
  <si>
    <t xml:space="preserve">Maintient la CI/CD, l'infrastructure et les accès ; garantit que les agents n'ont aucun accès à la production.</t>
  </si>
  <si>
    <t xml:space="preserve">Sécurité / DPO</t>
  </si>
  <si>
    <t xml:space="preserve">Valide les outils IA autorisés, la politique d'usage, les revues de sécurité et la conformité 09-08.</t>
  </si>
  <si>
    <t xml:space="preserve">GARDE-FOUS</t>
  </si>
  <si>
    <t xml:space="preserve">Interdit</t>
  </si>
  <si>
    <t xml:space="preserve">Données de production, données personnelles réelles, secrets, clés ou RIB dans un prompt ou un contexte d'agent.</t>
  </si>
  <si>
    <t xml:space="preserve">Auto-merge ou déploiement en production déclenché par l'IA.</t>
  </si>
  <si>
    <t xml:space="preserve">Accès d'un agent aux identifiants de production ou à la base de production.</t>
  </si>
  <si>
    <t xml:space="preserve">Algorithmes cryptographiques ou de sécurité « maison » générés par l'IA : uniquement des bibliothèques éprouvées.</t>
  </si>
  <si>
    <t xml:space="preserve">Obligatoire</t>
  </si>
  <si>
    <t xml:space="preserve">Revue humaine de 100 % du code ; double revue sur les zones sensibles.</t>
  </si>
  <si>
    <t xml:space="preserve">Vérification des licences des dépendances proposées par l'IA.</t>
  </si>
  <si>
    <t xml:space="preserve">Outils IA approuvés par la sécurité, sous contrat entreprise, politique d'usage signée par l'équipe.</t>
  </si>
  <si>
    <t xml:space="preserve">Mention de l'assistance IA dans la PR et ID de l'US dans les commits.</t>
  </si>
  <si>
    <t xml:space="preserve">INDICATEURS DE SUIVI</t>
  </si>
  <si>
    <t xml:space="preserve">Délai par US (lead time)</t>
  </si>
  <si>
    <t xml:space="preserve">Mesuré sur les sprints 1-2 comme référence, puis objectif de réduction fixé en rétrospective.</t>
  </si>
  <si>
    <t xml:space="preserve">Fréquence de déploiement (DORA)</t>
  </si>
  <si>
    <t xml:space="preserve">≥ 1 déploiement en recette par jour ouvré.</t>
  </si>
  <si>
    <t xml:space="preserve">Taux d'échec des changements (DORA)</t>
  </si>
  <si>
    <t xml:space="preserve">&lt; 15 %.</t>
  </si>
  <si>
    <t xml:space="preserve">Délai de rétablissement (DORA)</t>
  </si>
  <si>
    <t xml:space="preserve">&lt; 4 h.</t>
  </si>
  <si>
    <t xml:space="preserve">Défauts échappés en recette</t>
  </si>
  <si>
    <t xml:space="preserve">En baisse sprint après sprint ; 0 défaut bloquant en production au pilote.</t>
  </si>
  <si>
    <t xml:space="preserve">Couverture des critères d'acceptation</t>
  </si>
  <si>
    <t xml:space="preserve">100 % des critères des US P0 couverts par un test automatisé.</t>
  </si>
  <si>
    <t xml:space="preserve">Qualité du code IA</t>
  </si>
  <si>
    <t xml:space="preserve">Taux de PR rejetées ou fortement reprises, suivi par module.</t>
  </si>
  <si>
    <t xml:space="preserve">Incidents de sécurité liés au code assisté</t>
  </si>
  <si>
    <t xml:space="preserve">0.</t>
  </si>
  <si>
    <t xml:space="preserve">MISE EN PLACE (SPRINT 0)</t>
  </si>
  <si>
    <t xml:space="preserve">Dépôt</t>
  </si>
  <si>
    <t xml:space="preserve">Monorepo frontend/ + backend/ + contracts/ (OpenAPI partagé) + docs/ (ADR) : un seul contexte pour les agents et un contrat versionné.</t>
  </si>
  <si>
    <t xml:space="preserve">Fichiers de contexte</t>
  </si>
  <si>
    <t xml:space="preserve">Conventions de code, architecture, glossaire métier, commandes build / test, liste des zones sensibles (ex. fichier CLAUDE.md à la racine et par module).</t>
  </si>
  <si>
    <t xml:space="preserve">Bibliothèque de commandes</t>
  </si>
  <si>
    <t xml:space="preserve">Commandes versionnées : « implémenter l'US », « générer les tests depuis les critères », « revue de sécurité », « vérifier RTL ».</t>
  </si>
  <si>
    <t xml:space="preserve">Connecteur Jira</t>
  </si>
  <si>
    <t xml:space="preserve">Lecture des US et mise à jour des statuts par l'assistant, en lecture seule au départ.</t>
  </si>
  <si>
    <t xml:space="preserve">CI</t>
  </si>
  <si>
    <t xml:space="preserve">Quality gates, ArchUnit, tests cross-tenant, i18n, Lighthouse, sécurité et bot de revue IA en place avant la première US.</t>
  </si>
  <si>
    <t xml:space="preserve">Politique et formation</t>
  </si>
  <si>
    <t xml:space="preserve">Politique d'usage IA signée ; une journée de formation de l'équipe sur le flux de travail.</t>
  </si>
  <si>
    <t xml:space="preserve">Pilote</t>
  </si>
  <si>
    <t xml:space="preserve">2 US du Lot 1 (US-039, US-001) réalisées avec le flux complet, rétrospective, ajustements, puis généralisation.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</si>
</sst>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9"/>
      <color rgb="FFFFFFFF"/>
      <name val="Calibri"/>
      <family val="0"/>
      <charset val="1"/>
    </font>
    <font>
      <sz val="11"/>
      <color rgb="FFFFFFFF"/>
      <name val="Calibri"/>
      <family val="0"/>
      <charset val="1"/>
    </font>
    <font>
      <b val="true"/>
      <sz val="12"/>
      <color rgb="FFFFFFFF"/>
      <name val="Calibri"/>
      <family val="0"/>
      <charset val="1"/>
    </font>
    <font>
      <b val="true"/>
      <sz val="11"/>
      <name val="Calibri"/>
      <family val="0"/>
      <charset val="1"/>
    </font>
    <font>
      <sz val="11"/>
      <name val="Calibri"/>
      <family val="0"/>
      <charset val="1"/>
    </font>
    <font>
      <b val="true"/>
      <sz val="11"/>
      <color rgb="FFFFFFFF"/>
      <name val="Calibri"/>
      <family val="0"/>
      <charset val="1"/>
    </font>
    <font>
      <sz val="11"/>
      <name val="FreeSans"/>
      <family val="2"/>
    </font>
  </fonts>
  <fills count="5">
    <fill>
      <patternFill patternType="none"/>
    </fill>
    <fill>
      <patternFill patternType="gray125"/>
    </fill>
    <fill>
      <patternFill patternType="solid">
        <fgColor rgb="FF12243B"/>
        <bgColor rgb="FF333333"/>
      </patternFill>
    </fill>
    <fill>
      <patternFill patternType="solid">
        <fgColor rgb="FF0B777F"/>
        <bgColor rgb="FF008080"/>
      </patternFill>
    </fill>
    <fill>
      <patternFill patternType="solid">
        <fgColor rgb="FFF7F9FA"/>
        <bgColor rgb="FFFFFFFF"/>
      </patternFill>
    </fill>
  </fills>
  <borders count="2">
    <border diagonalUp="false" diagonalDown="false">
      <left/>
      <right/>
      <top/>
      <bottom/>
      <diagonal/>
    </border>
    <border diagonalUp="false" diagonalDown="false">
      <left style="thin">
        <color rgb="FFC9D3DB"/>
      </left>
      <right style="thin">
        <color rgb="FFC9D3DB"/>
      </right>
      <top style="thin">
        <color rgb="FFC9D3DB"/>
      </top>
      <bottom style="thin">
        <color rgb="FFC9D3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B777F"/>
          <bgColor rgb="FF000000"/>
        </patternFill>
      </fill>
    </dxf>
    <dxf>
      <fill>
        <patternFill patternType="solid">
          <bgColor rgb="FF000000"/>
        </patternFill>
      </fill>
    </dxf>
    <dxf>
      <fill>
        <patternFill patternType="solid">
          <fgColor rgb="FFFFFFFF"/>
          <bgColor rgb="FF000000"/>
        </patternFill>
      </fill>
    </dxf>
    <dxf>
      <fill>
        <patternFill patternType="solid">
          <fgColor rgb="FFE2E8F0"/>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D1F0E4"/>
          <bgColor rgb="FF000000"/>
        </patternFill>
      </fill>
    </dxf>
    <dxf>
      <fill>
        <patternFill patternType="solid">
          <fgColor rgb="FF0B5D3B"/>
          <bgColor rgb="FF000000"/>
        </patternFill>
      </fill>
    </dxf>
    <dxf>
      <font>
        <name val="Calibri"/>
        <charset val="1"/>
        <family val="0"/>
        <b val="1"/>
      </font>
      <fill>
        <patternFill>
          <bgColor rgb="FFF8D7DA"/>
        </patternFill>
      </fill>
    </dxf>
    <dxf>
      <font>
        <name val="Calibri"/>
        <charset val="1"/>
        <family val="0"/>
        <b val="1"/>
      </font>
      <fill>
        <patternFill>
          <bgColor rgb="FFFFF3CD"/>
        </patternFill>
      </fill>
    </dxf>
    <dxf>
      <font>
        <name val="Calibri"/>
        <charset val="1"/>
        <family val="0"/>
        <b val="1"/>
      </font>
      <fill>
        <patternFill>
          <bgColor rgb="FFE2E8F0"/>
        </patternFill>
      </fill>
    </dxf>
    <dxf>
      <font>
        <name val="Calibri"/>
        <charset val="1"/>
        <family val="0"/>
        <b val="1"/>
        <color rgb="FF0B5D3B"/>
      </font>
      <fill>
        <patternFill>
          <bgColor rgb="FFD1F0E4"/>
        </patternFill>
      </fill>
    </dxf>
    <dxf>
      <fill>
        <patternFill patternType="solid">
          <fgColor rgb="FFF7F9FA"/>
          <bgColor rgb="FF000000"/>
        </patternFill>
      </fill>
    </dxf>
  </dxfs>
  <colors>
    <indexedColors>
      <rgbColor rgb="FF000000"/>
      <rgbColor rgb="FFFFFFFF"/>
      <rgbColor rgb="FFFF0000"/>
      <rgbColor rgb="FF00FF00"/>
      <rgbColor rgb="FF0000FF"/>
      <rgbColor rgb="FFFFFF00"/>
      <rgbColor rgb="FFFF00FF"/>
      <rgbColor rgb="FF00FFFF"/>
      <rgbColor rgb="FF800000"/>
      <rgbColor rgb="FF0B5D3B"/>
      <rgbColor rgb="FF000080"/>
      <rgbColor rgb="FF808000"/>
      <rgbColor rgb="FF800080"/>
      <rgbColor rgb="FF0B777F"/>
      <rgbColor rgb="FFC0C0C0"/>
      <rgbColor rgb="FF808080"/>
      <rgbColor rgb="FF9999FF"/>
      <rgbColor rgb="FF993366"/>
      <rgbColor rgb="FFFFF3CD"/>
      <rgbColor rgb="FFE2E8F0"/>
      <rgbColor rgb="FF660066"/>
      <rgbColor rgb="FFFF8080"/>
      <rgbColor rgb="FF0066CC"/>
      <rgbColor rgb="FFC9D3DB"/>
      <rgbColor rgb="FF000080"/>
      <rgbColor rgb="FFFF00FF"/>
      <rgbColor rgb="FFFFFF00"/>
      <rgbColor rgb="FF00FFFF"/>
      <rgbColor rgb="FF800080"/>
      <rgbColor rgb="FF800000"/>
      <rgbColor rgb="FF008080"/>
      <rgbColor rgb="FF0000FF"/>
      <rgbColor rgb="FF00CCFF"/>
      <rgbColor rgb="FFF7F9FA"/>
      <rgbColor rgb="FFD1F0E4"/>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2243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43B"/>
    <pageSetUpPr fitToPage="true"/>
  </sheetPr>
  <dimension ref="A1:B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5" hidden="false" customHeight="false" outlineLevel="0" collapsed="false">
      <c r="A1" s="1" t="s">
        <v>0</v>
      </c>
      <c r="B1" s="1"/>
    </row>
    <row r="2" customFormat="false" ht="15" hidden="false" customHeight="false" outlineLevel="0" collapsed="false">
      <c r="A2" s="1"/>
      <c r="B2" s="1"/>
    </row>
    <row r="3" customFormat="false" ht="21.75" hidden="false" customHeight="true" outlineLevel="0" collapsed="false">
      <c r="A3" s="2" t="s">
        <v>1</v>
      </c>
      <c r="B3" s="2"/>
    </row>
    <row r="5" customFormat="false" ht="21.75" hidden="false" customHeight="true" outlineLevel="0" collapsed="false">
      <c r="A5" s="3" t="s">
        <v>2</v>
      </c>
      <c r="B5" s="3"/>
    </row>
    <row r="6" customFormat="false" ht="33.75" hidden="false" customHeight="true" outlineLevel="0" collapsed="false">
      <c r="A6" s="4" t="s">
        <v>3</v>
      </c>
      <c r="B6" s="5" t="s">
        <v>4</v>
      </c>
    </row>
    <row r="7" customFormat="false" ht="18.75" hidden="false" customHeight="true" outlineLevel="0" collapsed="false">
      <c r="A7" s="4" t="s">
        <v>5</v>
      </c>
      <c r="B7" s="5" t="s">
        <v>6</v>
      </c>
    </row>
    <row r="8" customFormat="false" ht="33.75" hidden="false" customHeight="true" outlineLevel="0" collapsed="false">
      <c r="A8" s="4" t="s">
        <v>7</v>
      </c>
      <c r="B8" s="5" t="s">
        <v>8</v>
      </c>
    </row>
    <row r="9" customFormat="false" ht="18.75" hidden="false" customHeight="true" outlineLevel="0" collapsed="false">
      <c r="A9" s="4" t="s">
        <v>9</v>
      </c>
      <c r="B9" s="5" t="s">
        <v>10</v>
      </c>
    </row>
    <row r="10" customFormat="false" ht="33.75" hidden="false" customHeight="true" outlineLevel="0" collapsed="false">
      <c r="A10" s="4" t="s">
        <v>11</v>
      </c>
      <c r="B10" s="5" t="s">
        <v>12</v>
      </c>
    </row>
    <row r="11" customFormat="false" ht="33.75" hidden="false" customHeight="true" outlineLevel="0" collapsed="false">
      <c r="A11" s="4" t="s">
        <v>13</v>
      </c>
      <c r="B11" s="5" t="s">
        <v>14</v>
      </c>
    </row>
    <row r="12" customFormat="false" ht="33.75" hidden="false" customHeight="true" outlineLevel="0" collapsed="false">
      <c r="A12" s="4" t="s">
        <v>15</v>
      </c>
      <c r="B12" s="5" t="s">
        <v>16</v>
      </c>
    </row>
    <row r="13" customFormat="false" ht="33.75" hidden="false" customHeight="true" outlineLevel="0" collapsed="false">
      <c r="A13" s="4" t="s">
        <v>17</v>
      </c>
      <c r="B13" s="5" t="s">
        <v>18</v>
      </c>
    </row>
    <row r="15" customFormat="false" ht="21.75" hidden="false" customHeight="true" outlineLevel="0" collapsed="false">
      <c r="A15" s="3" t="s">
        <v>19</v>
      </c>
      <c r="B15" s="3"/>
    </row>
    <row r="16" customFormat="false" ht="33.75" hidden="false" customHeight="true" outlineLevel="0" collapsed="false">
      <c r="A16" s="4" t="s">
        <v>20</v>
      </c>
      <c r="B16" s="5" t="s">
        <v>21</v>
      </c>
    </row>
    <row r="17" customFormat="false" ht="33.75" hidden="false" customHeight="true" outlineLevel="0" collapsed="false">
      <c r="A17" s="4" t="s">
        <v>22</v>
      </c>
      <c r="B17" s="5" t="s">
        <v>23</v>
      </c>
    </row>
    <row r="18" customFormat="false" ht="33.75" hidden="false" customHeight="true" outlineLevel="0" collapsed="false">
      <c r="A18" s="4" t="s">
        <v>24</v>
      </c>
      <c r="B18" s="5" t="s">
        <v>25</v>
      </c>
    </row>
    <row r="19" customFormat="false" ht="33.75" hidden="false" customHeight="true" outlineLevel="0" collapsed="false">
      <c r="A19" s="4" t="s">
        <v>26</v>
      </c>
      <c r="B19" s="5" t="s">
        <v>27</v>
      </c>
    </row>
    <row r="20" customFormat="false" ht="33.75" hidden="false" customHeight="true" outlineLevel="0" collapsed="false">
      <c r="A20" s="4" t="s">
        <v>28</v>
      </c>
      <c r="B20" s="5" t="s">
        <v>29</v>
      </c>
    </row>
    <row r="22" customFormat="false" ht="21.75" hidden="false" customHeight="true" outlineLevel="0" collapsed="false">
      <c r="A22" s="3" t="s">
        <v>30</v>
      </c>
      <c r="B22" s="3"/>
    </row>
    <row r="23" customFormat="false" ht="18.75" hidden="false" customHeight="true" outlineLevel="0" collapsed="false">
      <c r="A23" s="4" t="s">
        <v>31</v>
      </c>
      <c r="B23" s="5" t="str">
        <f aca="false">"Indispensable au critère de succès MVP, à la sécurité ou à la conformité de mise en production. — "&amp;COUNTIF('03 - Backlog'!$J$6:$J$200,"P0")&amp;" US · "&amp;SUMIF('03 - Backlog'!$J$6:$J$200,"P0",'03 - Backlog'!$N$6:$N$200)&amp;" points"</f>
        <v>Indispensable au critère de succès MVP, à la sécurité ou à la conformité de mise en production. — 43 US · 159 points</v>
      </c>
    </row>
    <row r="24" customFormat="false" ht="18.75" hidden="false" customHeight="true" outlineLevel="0" collapsed="false">
      <c r="A24" s="4" t="s">
        <v>32</v>
      </c>
      <c r="B24" s="5" t="str">
        <f aca="false">"Nécessaire à l'exploitation commerciale (support, pilotage, reversements) ; peut suivre le pilote. — "&amp;COUNTIF('03 - Backlog'!$J$6:$J$200,"P1")&amp;" US · "&amp;SUMIF('03 - Backlog'!$J$6:$J$200,"P1",'03 - Backlog'!$N$6:$N$200)&amp;" points"</f>
        <v>Nécessaire à l'exploitation commerciale (support, pilotage, reversements) ; peut suivre le pilote. — 14 US · 52 points</v>
      </c>
    </row>
    <row r="25" customFormat="false" ht="18.75" hidden="false" customHeight="true" outlineLevel="0" collapsed="false">
      <c r="A25" s="4" t="s">
        <v>33</v>
      </c>
      <c r="B25" s="5" t="str">
        <f aca="false">"Différable après le MVP ; conditionnée à une décision ou d'intérêt secondaire. — "&amp;COUNTIF('03 - Backlog'!$J$6:$J$200,"P2")&amp;" US · "&amp;SUMIF('03 - Backlog'!$J$6:$J$200,"P2",'03 - Backlog'!$N$6:$N$200)&amp;" points"</f>
        <v>Différable après le MVP ; conditionnée à une décision ou d'intérêt secondaire. — 3 US · 9 points</v>
      </c>
    </row>
    <row r="26" customFormat="false" ht="18.75" hidden="false" customHeight="true" outlineLevel="0" collapsed="false">
      <c r="A26" s="4" t="s">
        <v>34</v>
      </c>
      <c r="B26" s="5" t="str">
        <f aca="false">COUNTA('03 - Backlog'!$C$6:$C$200)&amp;" US · "&amp;SUM('03 - Backlog'!$N$6:$N$200)&amp;" points (estimation indicative à recalibrer en équipe)"</f>
        <v>60 US · 220 points (estimation indicative à recalibrer en équipe)</v>
      </c>
    </row>
    <row r="28" customFormat="false" ht="21.75" hidden="false" customHeight="true" outlineLevel="0" collapsed="false">
      <c r="A28" s="3" t="s">
        <v>35</v>
      </c>
      <c r="B28" s="3"/>
    </row>
    <row r="29" customFormat="false" ht="18.75" hidden="false" customHeight="true" outlineLevel="0" collapsed="false">
      <c r="A29" s="4" t="s">
        <v>36</v>
      </c>
      <c r="B29" s="5" t="str">
        <f aca="false">"Authentification, partenaires, commission, langues, RTL, notifications localisées, audit. — "&amp;COUNTIF('03 - Backlog'!$K$6:$K$200,"Lot 1")&amp;" US · "&amp;SUMIF('03 - Backlog'!$K$6:$K$200,"Lot 1",'03 - Backlog'!$N$6:$N$200)&amp;" points"</f>
        <v>Authentification, partenaires, commission, langues, RTL, notifications localisées, audit. — 11 US · 41 points</v>
      </c>
    </row>
    <row r="30" customFormat="false" ht="18.75" hidden="false" customHeight="true" outlineLevel="0" collapsed="false">
      <c r="A30" s="4" t="s">
        <v>37</v>
      </c>
      <c r="B30" s="5" t="str">
        <f aca="false">"Médias, offres, design, publication, catalogue, liens de partage, traductions. — "&amp;COUNTIF('03 - Backlog'!$K$6:$K$200,"Lot 2")&amp;" US · "&amp;SUMIF('03 - Backlog'!$K$6:$K$200,"Lot 2",'03 - Backlog'!$N$6:$N$200)&amp;" points"</f>
        <v>Médias, offres, design, publication, catalogue, liens de partage, traductions. — 11 US · 39 points</v>
      </c>
    </row>
    <row r="31" customFormat="false" ht="18.75" hidden="false" customHeight="true" outlineLevel="0" collapsed="false">
      <c r="A31" s="4" t="s">
        <v>38</v>
      </c>
      <c r="B31" s="5" t="str">
        <f aca="false">"Commande sans compte, bénéficiaire, message, récapitulatif, PSP, commission, transaction, rapprochement, CGV, 09-08. — "&amp;COUNTIF('03 - Backlog'!$K$6:$K$200,"Lot 3")&amp;" US · "&amp;SUMIF('03 - Backlog'!$K$6:$K$200,"Lot 3",'03 - Backlog'!$N$6:$N$200)&amp;" points"</f>
        <v>Commande sans compte, bénéficiaire, message, récapitulatif, PSP, commission, transaction, rapprochement, CGV, 09-08. — 11 US · 40 points</v>
      </c>
    </row>
    <row r="32" customFormat="false" ht="33.75" hidden="false" customHeight="true" outlineLevel="0" collapsed="false">
      <c r="A32" s="4" t="s">
        <v>39</v>
      </c>
      <c r="B32" s="5" t="str">
        <f aca="false">"Émission, page cadeau, email, WhatsApp, confirmation d'achat, vérification, utilisation, expiration, anti-fraude. Fin du parcours nominal. — "&amp;COUNTIF('03 - Backlog'!$K$6:$K$200,"Lot 4")&amp;" US · "&amp;SUMIF('03 - Backlog'!$K$6:$K$200,"Lot 4",'03 - Backlog'!$N$6:$N$200)&amp;" points"</f>
        <v>Émission, page cadeau, email, WhatsApp, confirmation d'achat, vérification, utilisation, expiration, anti-fraude. Fin du parcours nominal. — 11 US · 38 points</v>
      </c>
    </row>
    <row r="33" customFormat="false" ht="33.75" hidden="false" customHeight="true" outlineLevel="0" collapsed="false">
      <c r="A33" s="4" t="s">
        <v>40</v>
      </c>
      <c r="B33" s="5" t="str">
        <f aca="false">"Dashboards, exports, supervision, reversements, remboursements, blocage, suspension, support, MFA. — "&amp;COUNTIF('03 - Backlog'!$K$6:$K$200,"Lot 5")&amp;" US · "&amp;SUMIF('03 - Backlog'!$K$6:$K$200,"Lot 5",'03 - Backlog'!$N$6:$N$200)&amp;" points"</f>
        <v>Dashboards, exports, supervision, reversements, remboursements, blocage, suspension, support, MFA. — 13 US · 53 points</v>
      </c>
    </row>
    <row r="34" customFormat="false" ht="18.75" hidden="false" customHeight="true" outlineLevel="0" collapsed="false">
      <c r="A34" s="4" t="s">
        <v>41</v>
      </c>
      <c r="B34" s="5" t="str">
        <f aca="false">"Approbation des offres, paramétrage plateforme, anonymisation. — "&amp;COUNTIF('03 - Backlog'!$K$6:$K$200,"Lot 6")&amp;" US · "&amp;SUMIF('03 - Backlog'!$K$6:$K$200,"Lot 6",'03 - Backlog'!$N$6:$N$200)&amp;" points"</f>
        <v>Approbation des offres, paramétrage plateforme, anonymisation. — 3 US · 9 points</v>
      </c>
    </row>
    <row r="36" customFormat="false" ht="21.75" hidden="false" customHeight="true" outlineLevel="0" collapsed="false">
      <c r="A36" s="3" t="s">
        <v>42</v>
      </c>
      <c r="B36" s="3"/>
    </row>
    <row r="37" customFormat="false" ht="18.75" hidden="false" customHeight="true" outlineLevel="0" collapsed="false">
      <c r="A37" s="4" t="s">
        <v>43</v>
      </c>
      <c r="B37" s="5" t="s">
        <v>44</v>
      </c>
    </row>
    <row r="38" customFormat="false" ht="18.75" hidden="false" customHeight="true" outlineLevel="0" collapsed="false">
      <c r="A38" s="4" t="s">
        <v>45</v>
      </c>
      <c r="B38" s="5" t="s">
        <v>46</v>
      </c>
    </row>
    <row r="39" customFormat="false" ht="18.75" hidden="false" customHeight="true" outlineLevel="0" collapsed="false">
      <c r="A39" s="4" t="s">
        <v>47</v>
      </c>
      <c r="B39" s="5" t="s">
        <v>48</v>
      </c>
    </row>
    <row r="40" customFormat="false" ht="18.75" hidden="false" customHeight="true" outlineLevel="0" collapsed="false">
      <c r="A40" s="4" t="s">
        <v>49</v>
      </c>
      <c r="B40" s="5" t="s">
        <v>50</v>
      </c>
    </row>
    <row r="42" customFormat="false" ht="21.75" hidden="false" customHeight="true" outlineLevel="0" collapsed="false">
      <c r="A42" s="3" t="s">
        <v>51</v>
      </c>
      <c r="B42" s="3"/>
    </row>
    <row r="43" customFormat="false" ht="18.75" hidden="false" customHeight="true" outlineLevel="0" collapsed="false">
      <c r="A43" s="4" t="s">
        <v>52</v>
      </c>
      <c r="B43" s="5" t="s">
        <v>53</v>
      </c>
    </row>
    <row r="44" customFormat="false" ht="33.75" hidden="false" customHeight="true" outlineLevel="0" collapsed="false">
      <c r="A44" s="4" t="s">
        <v>54</v>
      </c>
      <c r="B44" s="5" t="s">
        <v>55</v>
      </c>
    </row>
    <row r="45" customFormat="false" ht="18.75" hidden="false" customHeight="true" outlineLevel="0" collapsed="false">
      <c r="A45" s="4" t="s">
        <v>56</v>
      </c>
      <c r="B45" s="5" t="s">
        <v>57</v>
      </c>
    </row>
    <row r="46" customFormat="false" ht="18.75" hidden="false" customHeight="true" outlineLevel="0" collapsed="false">
      <c r="A46" s="4" t="s">
        <v>58</v>
      </c>
      <c r="B46" s="5" t="s">
        <v>59</v>
      </c>
    </row>
    <row r="47" customFormat="false" ht="18.75" hidden="false" customHeight="true" outlineLevel="0" collapsed="false">
      <c r="A47" s="4" t="s">
        <v>60</v>
      </c>
      <c r="B47" s="5" t="s">
        <v>61</v>
      </c>
    </row>
    <row r="49" customFormat="false" ht="21.75" hidden="false" customHeight="true" outlineLevel="0" collapsed="false">
      <c r="A49" s="3" t="s">
        <v>62</v>
      </c>
      <c r="B49" s="3"/>
    </row>
    <row r="50" customFormat="false" ht="18.75" hidden="false" customHeight="true" outlineLevel="0" collapsed="false">
      <c r="A50" s="4" t="s">
        <v>63</v>
      </c>
      <c r="B50" s="5" t="s">
        <v>64</v>
      </c>
    </row>
    <row r="51" customFormat="false" ht="18.75" hidden="false" customHeight="true" outlineLevel="0" collapsed="false">
      <c r="A51" s="4" t="s">
        <v>65</v>
      </c>
      <c r="B51" s="5" t="s">
        <v>66</v>
      </c>
    </row>
    <row r="52" customFormat="false" ht="33.75" hidden="false" customHeight="true" outlineLevel="0" collapsed="false">
      <c r="A52" s="4" t="s">
        <v>67</v>
      </c>
      <c r="B52" s="5" t="s">
        <v>68</v>
      </c>
    </row>
    <row r="53" customFormat="false" ht="18.75" hidden="false" customHeight="true" outlineLevel="0" collapsed="false">
      <c r="A53" s="4" t="s">
        <v>69</v>
      </c>
      <c r="B53" s="5" t="s">
        <v>70</v>
      </c>
    </row>
    <row r="54" customFormat="false" ht="18.75" hidden="false" customHeight="true" outlineLevel="0" collapsed="false">
      <c r="A54" s="4" t="s">
        <v>71</v>
      </c>
      <c r="B54" s="5" t="s">
        <v>72</v>
      </c>
    </row>
    <row r="55" customFormat="false" ht="18.75" hidden="false" customHeight="true" outlineLevel="0" collapsed="false">
      <c r="A55" s="4" t="s">
        <v>73</v>
      </c>
      <c r="B55" s="5" t="s">
        <v>74</v>
      </c>
    </row>
    <row r="56" customFormat="false" ht="33.75" hidden="false" customHeight="true" outlineLevel="0" collapsed="false">
      <c r="A56" s="4" t="s">
        <v>75</v>
      </c>
      <c r="B56" s="5" t="s">
        <v>76</v>
      </c>
    </row>
    <row r="57" customFormat="false" ht="18.75" hidden="false" customHeight="true" outlineLevel="0" collapsed="false">
      <c r="A57" s="4" t="s">
        <v>77</v>
      </c>
      <c r="B57" s="5" t="s">
        <v>78</v>
      </c>
    </row>
    <row r="58" customFormat="false" ht="18.75" hidden="false" customHeight="true" outlineLevel="0" collapsed="false">
      <c r="A58" s="4" t="s">
        <v>79</v>
      </c>
      <c r="B58" s="5" t="s">
        <v>80</v>
      </c>
    </row>
  </sheetData>
  <mergeCells count="9">
    <mergeCell ref="A1:B2"/>
    <mergeCell ref="A3:B3"/>
    <mergeCell ref="A5:B5"/>
    <mergeCell ref="A15:B15"/>
    <mergeCell ref="A22:B22"/>
    <mergeCell ref="A28:B28"/>
    <mergeCell ref="A36:B36"/>
    <mergeCell ref="A42:B42"/>
    <mergeCell ref="A49:B4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43B"/>
    <pageSetUpPr fitToPage="tru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 collapsed="false" customWidth="true" hidden="false" outlineLevel="0" max="3" min="3" style="0" width="32"/>
  </cols>
  <sheetData>
    <row r="1" customFormat="false" ht="15" hidden="false" customHeight="false" outlineLevel="0" collapsed="false">
      <c r="A1" s="1" t="s">
        <v>81</v>
      </c>
      <c r="B1" s="1"/>
      <c r="C1" s="1"/>
    </row>
    <row r="2" customFormat="false" ht="15" hidden="false" customHeight="false" outlineLevel="0" collapsed="false">
      <c r="A2" s="1"/>
      <c r="B2" s="1"/>
      <c r="C2" s="1"/>
    </row>
    <row r="3" customFormat="false" ht="21.75" hidden="false" customHeight="true" outlineLevel="0" collapsed="false">
      <c r="A3" s="2" t="s">
        <v>82</v>
      </c>
      <c r="B3" s="2"/>
      <c r="C3" s="2"/>
    </row>
    <row r="5" customFormat="false" ht="21.75" hidden="false" customHeight="true" outlineLevel="0" collapsed="false">
      <c r="A5" s="3" t="s">
        <v>83</v>
      </c>
      <c r="B5" s="3"/>
      <c r="C5" s="3"/>
    </row>
    <row r="6" customFormat="false" ht="31.5" hidden="false" customHeight="true" outlineLevel="0" collapsed="false">
      <c r="A6" s="6" t="s">
        <v>84</v>
      </c>
      <c r="B6" s="6" t="s">
        <v>85</v>
      </c>
      <c r="C6" s="6" t="s">
        <v>86</v>
      </c>
    </row>
    <row r="7" customFormat="false" ht="33.75" hidden="false" customHeight="true" outlineLevel="0" collapsed="false">
      <c r="A7" s="4" t="s">
        <v>87</v>
      </c>
      <c r="B7" s="5" t="s">
        <v>88</v>
      </c>
      <c r="C7" s="5" t="s">
        <v>89</v>
      </c>
    </row>
    <row r="8" customFormat="false" ht="33.75" hidden="false" customHeight="true" outlineLevel="0" collapsed="false">
      <c r="A8" s="4" t="s">
        <v>90</v>
      </c>
      <c r="B8" s="5" t="s">
        <v>91</v>
      </c>
      <c r="C8" s="5" t="s">
        <v>92</v>
      </c>
    </row>
    <row r="9" customFormat="false" ht="33.75" hidden="false" customHeight="true" outlineLevel="0" collapsed="false">
      <c r="A9" s="4" t="s">
        <v>93</v>
      </c>
      <c r="B9" s="5" t="s">
        <v>94</v>
      </c>
      <c r="C9" s="5" t="s">
        <v>95</v>
      </c>
    </row>
    <row r="10" customFormat="false" ht="33.75" hidden="false" customHeight="true" outlineLevel="0" collapsed="false">
      <c r="A10" s="4" t="s">
        <v>96</v>
      </c>
      <c r="B10" s="5" t="s">
        <v>97</v>
      </c>
      <c r="C10" s="5" t="s">
        <v>98</v>
      </c>
    </row>
    <row r="11" customFormat="false" ht="33.75" hidden="false" customHeight="true" outlineLevel="0" collapsed="false">
      <c r="A11" s="4" t="s">
        <v>99</v>
      </c>
      <c r="B11" s="5" t="s">
        <v>100</v>
      </c>
      <c r="C11" s="5" t="s">
        <v>101</v>
      </c>
    </row>
    <row r="12" customFormat="false" ht="33.75" hidden="false" customHeight="true" outlineLevel="0" collapsed="false">
      <c r="A12" s="4" t="s">
        <v>102</v>
      </c>
      <c r="B12" s="5" t="s">
        <v>103</v>
      </c>
      <c r="C12" s="5" t="s">
        <v>104</v>
      </c>
    </row>
    <row r="13" customFormat="false" ht="33.75" hidden="false" customHeight="true" outlineLevel="0" collapsed="false">
      <c r="A13" s="4" t="s">
        <v>105</v>
      </c>
      <c r="B13" s="5" t="s">
        <v>106</v>
      </c>
      <c r="C13" s="5" t="s">
        <v>107</v>
      </c>
    </row>
    <row r="14" customFormat="false" ht="18.75" hidden="false" customHeight="true" outlineLevel="0" collapsed="false">
      <c r="A14" s="4" t="s">
        <v>108</v>
      </c>
      <c r="B14" s="5" t="s">
        <v>109</v>
      </c>
      <c r="C14" s="5" t="s">
        <v>110</v>
      </c>
    </row>
    <row r="16" customFormat="false" ht="21.75" hidden="false" customHeight="true" outlineLevel="0" collapsed="false">
      <c r="A16" s="3" t="s">
        <v>111</v>
      </c>
      <c r="B16" s="3"/>
      <c r="C16" s="3"/>
    </row>
    <row r="17" customFormat="false" ht="33.75" hidden="false" customHeight="true" outlineLevel="0" collapsed="false">
      <c r="A17" s="4" t="s">
        <v>112</v>
      </c>
      <c r="B17" s="5" t="s">
        <v>113</v>
      </c>
      <c r="C17" s="5"/>
    </row>
    <row r="18" customFormat="false" ht="33.75" hidden="false" customHeight="true" outlineLevel="0" collapsed="false">
      <c r="A18" s="4" t="s">
        <v>114</v>
      </c>
      <c r="B18" s="5" t="s">
        <v>115</v>
      </c>
      <c r="C18" s="5"/>
    </row>
    <row r="19" customFormat="false" ht="33.75" hidden="false" customHeight="true" outlineLevel="0" collapsed="false">
      <c r="A19" s="4" t="s">
        <v>116</v>
      </c>
      <c r="B19" s="5" t="s">
        <v>117</v>
      </c>
      <c r="C19" s="5"/>
    </row>
    <row r="20" customFormat="false" ht="33.75" hidden="false" customHeight="true" outlineLevel="0" collapsed="false">
      <c r="A20" s="4" t="s">
        <v>118</v>
      </c>
      <c r="B20" s="5" t="s">
        <v>119</v>
      </c>
      <c r="C20" s="5"/>
    </row>
    <row r="21" customFormat="false" ht="33.75" hidden="false" customHeight="true" outlineLevel="0" collapsed="false">
      <c r="A21" s="4" t="s">
        <v>120</v>
      </c>
      <c r="B21" s="5" t="s">
        <v>121</v>
      </c>
      <c r="C21" s="5"/>
    </row>
    <row r="22" customFormat="false" ht="33.75" hidden="false" customHeight="true" outlineLevel="0" collapsed="false">
      <c r="A22" s="4" t="s">
        <v>122</v>
      </c>
      <c r="B22" s="5" t="s">
        <v>123</v>
      </c>
      <c r="C22" s="5"/>
    </row>
    <row r="23" customFormat="false" ht="33.75" hidden="false" customHeight="true" outlineLevel="0" collapsed="false">
      <c r="A23" s="4" t="s">
        <v>124</v>
      </c>
      <c r="B23" s="5" t="s">
        <v>125</v>
      </c>
      <c r="C23" s="5"/>
    </row>
    <row r="24" customFormat="false" ht="33.75" hidden="false" customHeight="true" outlineLevel="0" collapsed="false">
      <c r="A24" s="4" t="s">
        <v>126</v>
      </c>
      <c r="B24" s="5" t="s">
        <v>127</v>
      </c>
      <c r="C24" s="5"/>
    </row>
    <row r="25" customFormat="false" ht="33.75" hidden="false" customHeight="true" outlineLevel="0" collapsed="false">
      <c r="A25" s="4" t="s">
        <v>128</v>
      </c>
      <c r="B25" s="5" t="s">
        <v>129</v>
      </c>
      <c r="C25" s="5"/>
    </row>
    <row r="26" customFormat="false" ht="33.75" hidden="false" customHeight="true" outlineLevel="0" collapsed="false">
      <c r="A26" s="4" t="s">
        <v>58</v>
      </c>
      <c r="B26" s="5" t="s">
        <v>130</v>
      </c>
      <c r="C26" s="5"/>
    </row>
    <row r="27" customFormat="false" ht="33.75" hidden="false" customHeight="true" outlineLevel="0" collapsed="false">
      <c r="A27" s="4" t="s">
        <v>131</v>
      </c>
      <c r="B27" s="5" t="s">
        <v>132</v>
      </c>
      <c r="C27" s="5"/>
    </row>
    <row r="29" customFormat="false" ht="21.75" hidden="false" customHeight="true" outlineLevel="0" collapsed="false">
      <c r="A29" s="3" t="s">
        <v>133</v>
      </c>
      <c r="B29" s="3"/>
      <c r="C29" s="3"/>
    </row>
    <row r="30" customFormat="false" ht="18.75" hidden="false" customHeight="true" outlineLevel="0" collapsed="false">
      <c r="A30" s="4" t="s">
        <v>134</v>
      </c>
      <c r="B30" s="5" t="s">
        <v>135</v>
      </c>
      <c r="C30" s="5"/>
    </row>
    <row r="31" customFormat="false" ht="18.75" hidden="false" customHeight="true" outlineLevel="0" collapsed="false">
      <c r="A31" s="4" t="s">
        <v>136</v>
      </c>
      <c r="B31" s="5" t="s">
        <v>137</v>
      </c>
      <c r="C31" s="5"/>
    </row>
    <row r="32" customFormat="false" ht="18.75" hidden="false" customHeight="true" outlineLevel="0" collapsed="false">
      <c r="A32" s="4" t="s">
        <v>138</v>
      </c>
      <c r="B32" s="5" t="s">
        <v>139</v>
      </c>
      <c r="C32" s="5"/>
    </row>
    <row r="33" customFormat="false" ht="33.75" hidden="false" customHeight="true" outlineLevel="0" collapsed="false">
      <c r="A33" s="4" t="s">
        <v>140</v>
      </c>
      <c r="B33" s="5" t="s">
        <v>141</v>
      </c>
      <c r="C33" s="5"/>
    </row>
    <row r="34" customFormat="false" ht="18.75" hidden="false" customHeight="true" outlineLevel="0" collapsed="false">
      <c r="A34" s="4" t="s">
        <v>142</v>
      </c>
      <c r="B34" s="5" t="s">
        <v>143</v>
      </c>
      <c r="C34" s="5"/>
    </row>
    <row r="35" customFormat="false" ht="33.75" hidden="false" customHeight="true" outlineLevel="0" collapsed="false">
      <c r="A35" s="4" t="s">
        <v>144</v>
      </c>
      <c r="B35" s="5" t="s">
        <v>145</v>
      </c>
      <c r="C35" s="5"/>
    </row>
    <row r="36" customFormat="false" ht="18.75" hidden="false" customHeight="true" outlineLevel="0" collapsed="false">
      <c r="A36" s="4" t="s">
        <v>146</v>
      </c>
      <c r="B36" s="5" t="s">
        <v>147</v>
      </c>
      <c r="C36" s="5"/>
    </row>
    <row r="37" customFormat="false" ht="18.75" hidden="false" customHeight="true" outlineLevel="0" collapsed="false">
      <c r="A37" s="4" t="s">
        <v>148</v>
      </c>
      <c r="B37" s="5" t="s">
        <v>149</v>
      </c>
      <c r="C37" s="5"/>
    </row>
    <row r="38" customFormat="false" ht="18.75" hidden="false" customHeight="true" outlineLevel="0" collapsed="false">
      <c r="A38" s="4" t="s">
        <v>150</v>
      </c>
      <c r="B38" s="5" t="s">
        <v>151</v>
      </c>
      <c r="C38" s="5"/>
    </row>
    <row r="39" customFormat="false" ht="18.75" hidden="false" customHeight="true" outlineLevel="0" collapsed="false">
      <c r="A39" s="4" t="s">
        <v>152</v>
      </c>
      <c r="B39" s="5" t="s">
        <v>153</v>
      </c>
      <c r="C39" s="5"/>
    </row>
  </sheetData>
  <mergeCells count="26">
    <mergeCell ref="A1:C2"/>
    <mergeCell ref="A3:C3"/>
    <mergeCell ref="A5:C5"/>
    <mergeCell ref="A16:C16"/>
    <mergeCell ref="B17:C17"/>
    <mergeCell ref="B18:C18"/>
    <mergeCell ref="B19:C19"/>
    <mergeCell ref="B20:C20"/>
    <mergeCell ref="B21:C21"/>
    <mergeCell ref="B22:C22"/>
    <mergeCell ref="B23:C23"/>
    <mergeCell ref="B24:C24"/>
    <mergeCell ref="B25:C25"/>
    <mergeCell ref="B26:C26"/>
    <mergeCell ref="B27:C27"/>
    <mergeCell ref="A29:C29"/>
    <mergeCell ref="B30:C30"/>
    <mergeCell ref="B31:C31"/>
    <mergeCell ref="B32:C32"/>
    <mergeCell ref="B33:C33"/>
    <mergeCell ref="B34:C34"/>
    <mergeCell ref="B35:C35"/>
    <mergeCell ref="B36:C36"/>
    <mergeCell ref="B37:C37"/>
    <mergeCell ref="B38:C38"/>
    <mergeCell ref="B39:C3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43B"/>
    <pageSetUpPr fitToPage="true"/>
  </sheetPr>
  <dimension ref="A1:Q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9"/>
    <col collapsed="false" customWidth="true" hidden="false" outlineLevel="0" max="4" min="4" style="0" width="26"/>
    <col collapsed="false" customWidth="true" hidden="false" outlineLevel="0" max="5" min="5" style="0" width="20"/>
    <col collapsed="false" customWidth="true" hidden="false" outlineLevel="0" max="6" min="6" style="0" width="48"/>
    <col collapsed="false" customWidth="true" hidden="false" outlineLevel="0" max="7" min="7" style="0" width="46"/>
    <col collapsed="false" customWidth="true" hidden="false" outlineLevel="0" max="8" min="8" style="0" width="62"/>
    <col collapsed="false" customWidth="true" hidden="false" outlineLevel="0" max="9" min="9" style="0" width="70"/>
    <col collapsed="false" customWidth="true" hidden="false" outlineLevel="0" max="10" min="10" style="0" width="9"/>
    <col collapsed="false" customWidth="true" hidden="false" outlineLevel="0" max="11" min="11" style="0" width="10"/>
    <col collapsed="false" customWidth="true" hidden="false" outlineLevel="0" max="12" min="12" style="0" width="11"/>
    <col collapsed="false" customWidth="true" hidden="false" outlineLevel="0" max="13" min="13" style="0" width="14"/>
    <col collapsed="false" customWidth="true" hidden="false" outlineLevel="0" max="14" min="14" style="0" width="11"/>
    <col collapsed="false" customWidth="true" hidden="false" outlineLevel="0" max="15" min="15" style="0" width="30"/>
    <col collapsed="false" customWidth="true" hidden="false" outlineLevel="0" max="17" min="16" style="0" width="12"/>
  </cols>
  <sheetData>
    <row r="1" customFormat="false" ht="15" hidden="false" customHeight="false" outlineLevel="0" collapsed="false">
      <c r="A1" s="1" t="s">
        <v>154</v>
      </c>
      <c r="B1" s="1"/>
      <c r="C1" s="1"/>
      <c r="D1" s="1"/>
      <c r="E1" s="1"/>
      <c r="F1" s="1"/>
      <c r="G1" s="1"/>
      <c r="H1" s="1"/>
      <c r="I1" s="1"/>
      <c r="J1" s="1"/>
      <c r="K1" s="1"/>
      <c r="L1" s="1"/>
      <c r="M1" s="1"/>
      <c r="N1" s="1"/>
      <c r="O1" s="1"/>
      <c r="P1" s="1"/>
      <c r="Q1" s="1"/>
    </row>
    <row r="2" customFormat="false" ht="15" hidden="false" customHeight="false" outlineLevel="0" collapsed="false">
      <c r="A2" s="1"/>
      <c r="B2" s="1"/>
      <c r="C2" s="1"/>
      <c r="D2" s="1"/>
      <c r="E2" s="1"/>
      <c r="F2" s="1"/>
      <c r="G2" s="1"/>
      <c r="H2" s="1"/>
      <c r="I2" s="1"/>
      <c r="J2" s="1"/>
      <c r="K2" s="1"/>
      <c r="L2" s="1"/>
      <c r="M2" s="1"/>
      <c r="N2" s="1"/>
      <c r="O2" s="1"/>
      <c r="P2" s="1"/>
      <c r="Q2" s="1"/>
    </row>
    <row r="3" customFormat="false" ht="21.75" hidden="false" customHeight="true" outlineLevel="0" collapsed="false">
      <c r="A3" s="2" t="s">
        <v>155</v>
      </c>
      <c r="B3" s="2"/>
      <c r="C3" s="2"/>
      <c r="D3" s="2"/>
      <c r="E3" s="2"/>
      <c r="F3" s="2"/>
      <c r="G3" s="2"/>
      <c r="H3" s="2"/>
      <c r="I3" s="2"/>
      <c r="J3" s="2"/>
      <c r="K3" s="2"/>
      <c r="L3" s="2"/>
      <c r="M3" s="2"/>
      <c r="N3" s="2"/>
      <c r="O3" s="2"/>
      <c r="P3" s="2"/>
      <c r="Q3" s="2"/>
    </row>
    <row r="4" customFormat="false" ht="6" hidden="false" customHeight="true" outlineLevel="0" collapsed="false"/>
    <row r="5" customFormat="false" ht="31.5" hidden="false" customHeight="true" outlineLevel="0" collapsed="false">
      <c r="A5" s="6" t="s">
        <v>156</v>
      </c>
      <c r="B5" s="6" t="s">
        <v>157</v>
      </c>
      <c r="C5" s="6" t="s">
        <v>158</v>
      </c>
      <c r="D5" s="6" t="s">
        <v>159</v>
      </c>
      <c r="E5" s="6" t="s">
        <v>160</v>
      </c>
      <c r="F5" s="6" t="s">
        <v>161</v>
      </c>
      <c r="G5" s="6" t="s">
        <v>162</v>
      </c>
      <c r="H5" s="6" t="s">
        <v>163</v>
      </c>
      <c r="I5" s="6" t="s">
        <v>164</v>
      </c>
      <c r="J5" s="6" t="s">
        <v>165</v>
      </c>
      <c r="K5" s="6" t="s">
        <v>166</v>
      </c>
      <c r="L5" s="6" t="s">
        <v>167</v>
      </c>
      <c r="M5" s="6" t="s">
        <v>168</v>
      </c>
      <c r="N5" s="6" t="s">
        <v>169</v>
      </c>
      <c r="O5" s="6" t="s">
        <v>170</v>
      </c>
      <c r="P5" s="6" t="s">
        <v>171</v>
      </c>
      <c r="Q5" s="6" t="s">
        <v>172</v>
      </c>
    </row>
    <row r="6" customFormat="false" ht="186" hidden="false" customHeight="true" outlineLevel="0" collapsed="false">
      <c r="A6" s="7" t="s">
        <v>173</v>
      </c>
      <c r="B6" s="5" t="s">
        <v>174</v>
      </c>
      <c r="C6" s="8" t="s">
        <v>175</v>
      </c>
      <c r="D6" s="4" t="s">
        <v>176</v>
      </c>
      <c r="E6" s="5" t="s">
        <v>177</v>
      </c>
      <c r="F6" s="5" t="s">
        <v>178</v>
      </c>
      <c r="G6" s="5" t="s">
        <v>179</v>
      </c>
      <c r="H6" s="5" t="s">
        <v>180</v>
      </c>
      <c r="I6" s="5" t="s">
        <v>181</v>
      </c>
      <c r="J6" s="7" t="s">
        <v>31</v>
      </c>
      <c r="K6" s="7" t="s">
        <v>182</v>
      </c>
      <c r="L6" s="7" t="s">
        <v>183</v>
      </c>
      <c r="M6" s="5"/>
      <c r="N6" s="7" t="n">
        <v>5</v>
      </c>
      <c r="O6" s="5" t="s">
        <v>184</v>
      </c>
      <c r="P6" s="7" t="s">
        <v>185</v>
      </c>
      <c r="Q6" s="7"/>
    </row>
    <row r="7" customFormat="false" ht="156" hidden="false" customHeight="true" outlineLevel="0" collapsed="false">
      <c r="A7" s="7" t="s">
        <v>173</v>
      </c>
      <c r="B7" s="5" t="s">
        <v>174</v>
      </c>
      <c r="C7" s="8" t="s">
        <v>186</v>
      </c>
      <c r="D7" s="4" t="s">
        <v>187</v>
      </c>
      <c r="E7" s="5" t="s">
        <v>188</v>
      </c>
      <c r="F7" s="5" t="s">
        <v>189</v>
      </c>
      <c r="G7" s="5" t="s">
        <v>190</v>
      </c>
      <c r="H7" s="5" t="s">
        <v>191</v>
      </c>
      <c r="I7" s="5" t="s">
        <v>192</v>
      </c>
      <c r="J7" s="7" t="s">
        <v>31</v>
      </c>
      <c r="K7" s="7" t="s">
        <v>182</v>
      </c>
      <c r="L7" s="7" t="s">
        <v>183</v>
      </c>
      <c r="M7" s="5"/>
      <c r="N7" s="7" t="n">
        <v>5</v>
      </c>
      <c r="O7" s="5" t="s">
        <v>193</v>
      </c>
      <c r="P7" s="7" t="s">
        <v>185</v>
      </c>
      <c r="Q7" s="7"/>
    </row>
    <row r="8" customFormat="false" ht="141" hidden="false" customHeight="true" outlineLevel="0" collapsed="false">
      <c r="A8" s="7" t="s">
        <v>173</v>
      </c>
      <c r="B8" s="5" t="s">
        <v>174</v>
      </c>
      <c r="C8" s="8" t="s">
        <v>194</v>
      </c>
      <c r="D8" s="4" t="s">
        <v>195</v>
      </c>
      <c r="E8" s="5" t="s">
        <v>177</v>
      </c>
      <c r="F8" s="5" t="s">
        <v>196</v>
      </c>
      <c r="G8" s="5" t="s">
        <v>197</v>
      </c>
      <c r="H8" s="5" t="s">
        <v>198</v>
      </c>
      <c r="I8" s="5" t="s">
        <v>199</v>
      </c>
      <c r="J8" s="7" t="s">
        <v>31</v>
      </c>
      <c r="K8" s="7" t="s">
        <v>182</v>
      </c>
      <c r="L8" s="7" t="s">
        <v>183</v>
      </c>
      <c r="M8" s="5"/>
      <c r="N8" s="7" t="n">
        <v>3</v>
      </c>
      <c r="O8" s="5" t="s">
        <v>200</v>
      </c>
      <c r="P8" s="7" t="s">
        <v>185</v>
      </c>
      <c r="Q8" s="7"/>
    </row>
    <row r="9" customFormat="false" ht="81" hidden="false" customHeight="true" outlineLevel="0" collapsed="false">
      <c r="A9" s="7" t="s">
        <v>173</v>
      </c>
      <c r="B9" s="5" t="s">
        <v>174</v>
      </c>
      <c r="C9" s="8" t="s">
        <v>201</v>
      </c>
      <c r="D9" s="4" t="s">
        <v>202</v>
      </c>
      <c r="E9" s="5" t="s">
        <v>188</v>
      </c>
      <c r="F9" s="5" t="s">
        <v>203</v>
      </c>
      <c r="G9" s="5" t="s">
        <v>204</v>
      </c>
      <c r="H9" s="5" t="s">
        <v>205</v>
      </c>
      <c r="I9" s="5" t="s">
        <v>206</v>
      </c>
      <c r="J9" s="7" t="s">
        <v>32</v>
      </c>
      <c r="K9" s="7" t="s">
        <v>207</v>
      </c>
      <c r="L9" s="7" t="s">
        <v>183</v>
      </c>
      <c r="M9" s="5"/>
      <c r="N9" s="7" t="n">
        <v>5</v>
      </c>
      <c r="O9" s="5" t="s">
        <v>175</v>
      </c>
      <c r="P9" s="7" t="s">
        <v>208</v>
      </c>
      <c r="Q9" s="7"/>
    </row>
    <row r="10" customFormat="false" ht="171" hidden="false" customHeight="true" outlineLevel="0" collapsed="false">
      <c r="A10" s="7" t="s">
        <v>209</v>
      </c>
      <c r="B10" s="5" t="s">
        <v>210</v>
      </c>
      <c r="C10" s="8" t="s">
        <v>211</v>
      </c>
      <c r="D10" s="4" t="s">
        <v>212</v>
      </c>
      <c r="E10" s="5" t="s">
        <v>188</v>
      </c>
      <c r="F10" s="5" t="s">
        <v>213</v>
      </c>
      <c r="G10" s="5" t="s">
        <v>214</v>
      </c>
      <c r="H10" s="5" t="s">
        <v>215</v>
      </c>
      <c r="I10" s="5" t="s">
        <v>216</v>
      </c>
      <c r="J10" s="7" t="s">
        <v>31</v>
      </c>
      <c r="K10" s="7" t="s">
        <v>182</v>
      </c>
      <c r="L10" s="7" t="s">
        <v>183</v>
      </c>
      <c r="M10" s="5"/>
      <c r="N10" s="7" t="n">
        <v>5</v>
      </c>
      <c r="O10" s="5" t="s">
        <v>217</v>
      </c>
      <c r="P10" s="7" t="s">
        <v>185</v>
      </c>
      <c r="Q10" s="7" t="s">
        <v>218</v>
      </c>
    </row>
    <row r="11" customFormat="false" ht="141" hidden="false" customHeight="true" outlineLevel="0" collapsed="false">
      <c r="A11" s="7" t="s">
        <v>209</v>
      </c>
      <c r="B11" s="5" t="s">
        <v>210</v>
      </c>
      <c r="C11" s="8" t="s">
        <v>219</v>
      </c>
      <c r="D11" s="4" t="s">
        <v>220</v>
      </c>
      <c r="E11" s="5" t="s">
        <v>188</v>
      </c>
      <c r="F11" s="5" t="s">
        <v>221</v>
      </c>
      <c r="G11" s="5" t="s">
        <v>222</v>
      </c>
      <c r="H11" s="5" t="s">
        <v>223</v>
      </c>
      <c r="I11" s="5" t="s">
        <v>224</v>
      </c>
      <c r="J11" s="7" t="s">
        <v>31</v>
      </c>
      <c r="K11" s="7" t="s">
        <v>182</v>
      </c>
      <c r="L11" s="7" t="s">
        <v>183</v>
      </c>
      <c r="M11" s="5"/>
      <c r="N11" s="7" t="n">
        <v>3</v>
      </c>
      <c r="O11" s="5" t="s">
        <v>225</v>
      </c>
      <c r="P11" s="7" t="s">
        <v>185</v>
      </c>
      <c r="Q11" s="7" t="s">
        <v>226</v>
      </c>
    </row>
    <row r="12" customFormat="false" ht="96" hidden="false" customHeight="true" outlineLevel="0" collapsed="false">
      <c r="A12" s="7" t="s">
        <v>209</v>
      </c>
      <c r="B12" s="5" t="s">
        <v>210</v>
      </c>
      <c r="C12" s="8" t="s">
        <v>227</v>
      </c>
      <c r="D12" s="4" t="s">
        <v>228</v>
      </c>
      <c r="E12" s="5" t="s">
        <v>229</v>
      </c>
      <c r="F12" s="5" t="s">
        <v>230</v>
      </c>
      <c r="G12" s="5" t="s">
        <v>231</v>
      </c>
      <c r="H12" s="5" t="s">
        <v>232</v>
      </c>
      <c r="I12" s="5" t="s">
        <v>233</v>
      </c>
      <c r="J12" s="7" t="s">
        <v>31</v>
      </c>
      <c r="K12" s="7" t="s">
        <v>234</v>
      </c>
      <c r="L12" s="7" t="s">
        <v>183</v>
      </c>
      <c r="M12" s="5"/>
      <c r="N12" s="7" t="n">
        <v>3</v>
      </c>
      <c r="O12" s="5" t="s">
        <v>235</v>
      </c>
      <c r="P12" s="7" t="s">
        <v>185</v>
      </c>
      <c r="Q12" s="7"/>
    </row>
    <row r="13" customFormat="false" ht="156" hidden="false" customHeight="true" outlineLevel="0" collapsed="false">
      <c r="A13" s="7" t="s">
        <v>236</v>
      </c>
      <c r="B13" s="5" t="s">
        <v>237</v>
      </c>
      <c r="C13" s="8" t="s">
        <v>238</v>
      </c>
      <c r="D13" s="4" t="s">
        <v>239</v>
      </c>
      <c r="E13" s="5" t="s">
        <v>240</v>
      </c>
      <c r="F13" s="5" t="s">
        <v>241</v>
      </c>
      <c r="G13" s="5" t="s">
        <v>242</v>
      </c>
      <c r="H13" s="5" t="s">
        <v>243</v>
      </c>
      <c r="I13" s="5" t="s">
        <v>244</v>
      </c>
      <c r="J13" s="7" t="s">
        <v>31</v>
      </c>
      <c r="K13" s="7" t="s">
        <v>234</v>
      </c>
      <c r="L13" s="7" t="s">
        <v>183</v>
      </c>
      <c r="M13" s="5"/>
      <c r="N13" s="7" t="n">
        <v>5</v>
      </c>
      <c r="O13" s="5" t="s">
        <v>245</v>
      </c>
      <c r="P13" s="7" t="s">
        <v>185</v>
      </c>
      <c r="Q13" s="7" t="s">
        <v>246</v>
      </c>
    </row>
    <row r="14" customFormat="false" ht="96" hidden="false" customHeight="true" outlineLevel="0" collapsed="false">
      <c r="A14" s="7" t="s">
        <v>236</v>
      </c>
      <c r="B14" s="5" t="s">
        <v>237</v>
      </c>
      <c r="C14" s="8" t="s">
        <v>247</v>
      </c>
      <c r="D14" s="4" t="s">
        <v>248</v>
      </c>
      <c r="E14" s="5" t="s">
        <v>240</v>
      </c>
      <c r="F14" s="5" t="s">
        <v>249</v>
      </c>
      <c r="G14" s="5" t="s">
        <v>250</v>
      </c>
      <c r="H14" s="5" t="s">
        <v>251</v>
      </c>
      <c r="I14" s="5" t="s">
        <v>252</v>
      </c>
      <c r="J14" s="7" t="s">
        <v>31</v>
      </c>
      <c r="K14" s="7" t="s">
        <v>234</v>
      </c>
      <c r="L14" s="7" t="s">
        <v>183</v>
      </c>
      <c r="M14" s="5"/>
      <c r="N14" s="7" t="n">
        <v>5</v>
      </c>
      <c r="O14" s="5" t="s">
        <v>253</v>
      </c>
      <c r="P14" s="7" t="s">
        <v>185</v>
      </c>
      <c r="Q14" s="7"/>
    </row>
    <row r="15" customFormat="false" ht="171" hidden="false" customHeight="true" outlineLevel="0" collapsed="false">
      <c r="A15" s="7" t="s">
        <v>236</v>
      </c>
      <c r="B15" s="5" t="s">
        <v>237</v>
      </c>
      <c r="C15" s="8" t="s">
        <v>254</v>
      </c>
      <c r="D15" s="4" t="s">
        <v>255</v>
      </c>
      <c r="E15" s="5" t="s">
        <v>240</v>
      </c>
      <c r="F15" s="5" t="s">
        <v>256</v>
      </c>
      <c r="G15" s="5" t="s">
        <v>257</v>
      </c>
      <c r="H15" s="5" t="s">
        <v>258</v>
      </c>
      <c r="I15" s="5" t="s">
        <v>259</v>
      </c>
      <c r="J15" s="7" t="s">
        <v>31</v>
      </c>
      <c r="K15" s="7" t="s">
        <v>234</v>
      </c>
      <c r="L15" s="7" t="s">
        <v>183</v>
      </c>
      <c r="M15" s="5"/>
      <c r="N15" s="7" t="n">
        <v>3</v>
      </c>
      <c r="O15" s="5" t="s">
        <v>260</v>
      </c>
      <c r="P15" s="7" t="s">
        <v>185</v>
      </c>
      <c r="Q15" s="7" t="s">
        <v>261</v>
      </c>
    </row>
    <row r="16" customFormat="false" ht="111" hidden="false" customHeight="true" outlineLevel="0" collapsed="false">
      <c r="A16" s="7" t="s">
        <v>236</v>
      </c>
      <c r="B16" s="5" t="s">
        <v>237</v>
      </c>
      <c r="C16" s="8" t="s">
        <v>262</v>
      </c>
      <c r="D16" s="4" t="s">
        <v>263</v>
      </c>
      <c r="E16" s="5" t="s">
        <v>240</v>
      </c>
      <c r="F16" s="5" t="s">
        <v>264</v>
      </c>
      <c r="G16" s="5" t="s">
        <v>265</v>
      </c>
      <c r="H16" s="5" t="s">
        <v>266</v>
      </c>
      <c r="I16" s="5" t="s">
        <v>267</v>
      </c>
      <c r="J16" s="7" t="s">
        <v>31</v>
      </c>
      <c r="K16" s="7" t="s">
        <v>234</v>
      </c>
      <c r="L16" s="7" t="s">
        <v>183</v>
      </c>
      <c r="M16" s="5"/>
      <c r="N16" s="7" t="n">
        <v>5</v>
      </c>
      <c r="O16" s="5" t="s">
        <v>238</v>
      </c>
      <c r="P16" s="7" t="s">
        <v>185</v>
      </c>
      <c r="Q16" s="7"/>
    </row>
    <row r="17" customFormat="false" ht="81" hidden="false" customHeight="true" outlineLevel="0" collapsed="false">
      <c r="A17" s="7" t="s">
        <v>236</v>
      </c>
      <c r="B17" s="5" t="s">
        <v>237</v>
      </c>
      <c r="C17" s="8" t="s">
        <v>268</v>
      </c>
      <c r="D17" s="4" t="s">
        <v>269</v>
      </c>
      <c r="E17" s="5" t="s">
        <v>188</v>
      </c>
      <c r="F17" s="5" t="s">
        <v>270</v>
      </c>
      <c r="G17" s="5" t="s">
        <v>271</v>
      </c>
      <c r="H17" s="5" t="s">
        <v>272</v>
      </c>
      <c r="I17" s="5" t="s">
        <v>273</v>
      </c>
      <c r="J17" s="7" t="s">
        <v>33</v>
      </c>
      <c r="K17" s="7" t="s">
        <v>274</v>
      </c>
      <c r="L17" s="7" t="s">
        <v>183</v>
      </c>
      <c r="M17" s="5"/>
      <c r="N17" s="7" t="n">
        <v>3</v>
      </c>
      <c r="O17" s="5" t="s">
        <v>275</v>
      </c>
      <c r="P17" s="7" t="s">
        <v>208</v>
      </c>
      <c r="Q17" s="7" t="s">
        <v>261</v>
      </c>
    </row>
    <row r="18" customFormat="false" ht="126" hidden="false" customHeight="true" outlineLevel="0" collapsed="false">
      <c r="A18" s="7" t="s">
        <v>236</v>
      </c>
      <c r="B18" s="5" t="s">
        <v>237</v>
      </c>
      <c r="C18" s="8" t="s">
        <v>276</v>
      </c>
      <c r="D18" s="4" t="s">
        <v>277</v>
      </c>
      <c r="E18" s="5" t="s">
        <v>278</v>
      </c>
      <c r="F18" s="5" t="s">
        <v>279</v>
      </c>
      <c r="G18" s="5" t="s">
        <v>280</v>
      </c>
      <c r="H18" s="5" t="s">
        <v>281</v>
      </c>
      <c r="I18" s="5" t="s">
        <v>282</v>
      </c>
      <c r="J18" s="7" t="s">
        <v>31</v>
      </c>
      <c r="K18" s="7" t="s">
        <v>234</v>
      </c>
      <c r="L18" s="7" t="s">
        <v>183</v>
      </c>
      <c r="M18" s="5"/>
      <c r="N18" s="7" t="n">
        <v>3</v>
      </c>
      <c r="O18" s="5" t="s">
        <v>283</v>
      </c>
      <c r="P18" s="7" t="s">
        <v>208</v>
      </c>
      <c r="Q18" s="7"/>
    </row>
    <row r="19" customFormat="false" ht="126" hidden="false" customHeight="true" outlineLevel="0" collapsed="false">
      <c r="A19" s="7" t="s">
        <v>284</v>
      </c>
      <c r="B19" s="5" t="s">
        <v>285</v>
      </c>
      <c r="C19" s="8" t="s">
        <v>286</v>
      </c>
      <c r="D19" s="4" t="s">
        <v>287</v>
      </c>
      <c r="E19" s="5" t="s">
        <v>288</v>
      </c>
      <c r="F19" s="5" t="s">
        <v>289</v>
      </c>
      <c r="G19" s="5" t="s">
        <v>290</v>
      </c>
      <c r="H19" s="5" t="s">
        <v>291</v>
      </c>
      <c r="I19" s="5" t="s">
        <v>292</v>
      </c>
      <c r="J19" s="7" t="s">
        <v>31</v>
      </c>
      <c r="K19" s="7" t="s">
        <v>234</v>
      </c>
      <c r="L19" s="7" t="s">
        <v>183</v>
      </c>
      <c r="M19" s="5"/>
      <c r="N19" s="7" t="n">
        <v>5</v>
      </c>
      <c r="O19" s="5" t="s">
        <v>293</v>
      </c>
      <c r="P19" s="7" t="s">
        <v>185</v>
      </c>
      <c r="Q19" s="7"/>
    </row>
    <row r="20" customFormat="false" ht="111" hidden="false" customHeight="true" outlineLevel="0" collapsed="false">
      <c r="A20" s="7" t="s">
        <v>284</v>
      </c>
      <c r="B20" s="5" t="s">
        <v>285</v>
      </c>
      <c r="C20" s="8" t="s">
        <v>294</v>
      </c>
      <c r="D20" s="4" t="s">
        <v>295</v>
      </c>
      <c r="E20" s="5" t="s">
        <v>296</v>
      </c>
      <c r="F20" s="5" t="s">
        <v>297</v>
      </c>
      <c r="G20" s="5" t="s">
        <v>298</v>
      </c>
      <c r="H20" s="5" t="s">
        <v>299</v>
      </c>
      <c r="I20" s="5" t="s">
        <v>300</v>
      </c>
      <c r="J20" s="7" t="s">
        <v>31</v>
      </c>
      <c r="K20" s="7" t="s">
        <v>234</v>
      </c>
      <c r="L20" s="7" t="s">
        <v>183</v>
      </c>
      <c r="M20" s="5"/>
      <c r="N20" s="7" t="n">
        <v>3</v>
      </c>
      <c r="O20" s="5" t="s">
        <v>286</v>
      </c>
      <c r="P20" s="7" t="s">
        <v>185</v>
      </c>
      <c r="Q20" s="7"/>
    </row>
    <row r="21" customFormat="false" ht="96" hidden="false" customHeight="true" outlineLevel="0" collapsed="false">
      <c r="A21" s="7" t="s">
        <v>284</v>
      </c>
      <c r="B21" s="5" t="s">
        <v>285</v>
      </c>
      <c r="C21" s="8" t="s">
        <v>301</v>
      </c>
      <c r="D21" s="4" t="s">
        <v>302</v>
      </c>
      <c r="E21" s="5" t="s">
        <v>240</v>
      </c>
      <c r="F21" s="5" t="s">
        <v>303</v>
      </c>
      <c r="G21" s="5" t="s">
        <v>304</v>
      </c>
      <c r="H21" s="5" t="s">
        <v>305</v>
      </c>
      <c r="I21" s="5" t="s">
        <v>306</v>
      </c>
      <c r="J21" s="7" t="s">
        <v>32</v>
      </c>
      <c r="K21" s="7" t="s">
        <v>234</v>
      </c>
      <c r="L21" s="7" t="s">
        <v>183</v>
      </c>
      <c r="M21" s="5"/>
      <c r="N21" s="7" t="n">
        <v>2</v>
      </c>
      <c r="O21" s="5" t="s">
        <v>307</v>
      </c>
      <c r="P21" s="7" t="s">
        <v>185</v>
      </c>
      <c r="Q21" s="7"/>
    </row>
    <row r="22" customFormat="false" ht="141" hidden="false" customHeight="true" outlineLevel="0" collapsed="false">
      <c r="A22" s="7" t="s">
        <v>308</v>
      </c>
      <c r="B22" s="5" t="s">
        <v>309</v>
      </c>
      <c r="C22" s="8" t="s">
        <v>310</v>
      </c>
      <c r="D22" s="4" t="s">
        <v>311</v>
      </c>
      <c r="E22" s="5" t="s">
        <v>312</v>
      </c>
      <c r="F22" s="5" t="s">
        <v>313</v>
      </c>
      <c r="G22" s="5" t="s">
        <v>314</v>
      </c>
      <c r="H22" s="5" t="s">
        <v>315</v>
      </c>
      <c r="I22" s="5" t="s">
        <v>316</v>
      </c>
      <c r="J22" s="7" t="s">
        <v>31</v>
      </c>
      <c r="K22" s="7" t="s">
        <v>317</v>
      </c>
      <c r="L22" s="7" t="s">
        <v>183</v>
      </c>
      <c r="M22" s="5"/>
      <c r="N22" s="7" t="n">
        <v>5</v>
      </c>
      <c r="O22" s="5" t="s">
        <v>318</v>
      </c>
      <c r="P22" s="7" t="s">
        <v>185</v>
      </c>
      <c r="Q22" s="7"/>
    </row>
    <row r="23" customFormat="false" ht="141" hidden="false" customHeight="true" outlineLevel="0" collapsed="false">
      <c r="A23" s="7" t="s">
        <v>308</v>
      </c>
      <c r="B23" s="5" t="s">
        <v>309</v>
      </c>
      <c r="C23" s="8" t="s">
        <v>319</v>
      </c>
      <c r="D23" s="4" t="s">
        <v>320</v>
      </c>
      <c r="E23" s="5" t="s">
        <v>312</v>
      </c>
      <c r="F23" s="5" t="s">
        <v>321</v>
      </c>
      <c r="G23" s="5" t="s">
        <v>322</v>
      </c>
      <c r="H23" s="5" t="s">
        <v>323</v>
      </c>
      <c r="I23" s="5" t="s">
        <v>324</v>
      </c>
      <c r="J23" s="7" t="s">
        <v>31</v>
      </c>
      <c r="K23" s="7" t="s">
        <v>317</v>
      </c>
      <c r="L23" s="7" t="s">
        <v>183</v>
      </c>
      <c r="M23" s="5"/>
      <c r="N23" s="7" t="n">
        <v>3</v>
      </c>
      <c r="O23" s="5" t="s">
        <v>310</v>
      </c>
      <c r="P23" s="7" t="s">
        <v>185</v>
      </c>
      <c r="Q23" s="7"/>
    </row>
    <row r="24" customFormat="false" ht="96" hidden="false" customHeight="true" outlineLevel="0" collapsed="false">
      <c r="A24" s="7" t="s">
        <v>308</v>
      </c>
      <c r="B24" s="5" t="s">
        <v>309</v>
      </c>
      <c r="C24" s="8" t="s">
        <v>325</v>
      </c>
      <c r="D24" s="4" t="s">
        <v>326</v>
      </c>
      <c r="E24" s="5" t="s">
        <v>312</v>
      </c>
      <c r="F24" s="5" t="s">
        <v>327</v>
      </c>
      <c r="G24" s="5" t="s">
        <v>328</v>
      </c>
      <c r="H24" s="5" t="s">
        <v>329</v>
      </c>
      <c r="I24" s="5" t="s">
        <v>330</v>
      </c>
      <c r="J24" s="7" t="s">
        <v>31</v>
      </c>
      <c r="K24" s="7" t="s">
        <v>317</v>
      </c>
      <c r="L24" s="7" t="s">
        <v>183</v>
      </c>
      <c r="M24" s="5"/>
      <c r="N24" s="7" t="n">
        <v>2</v>
      </c>
      <c r="O24" s="5" t="s">
        <v>310</v>
      </c>
      <c r="P24" s="7" t="s">
        <v>185</v>
      </c>
      <c r="Q24" s="7"/>
    </row>
    <row r="25" customFormat="false" ht="111" hidden="false" customHeight="true" outlineLevel="0" collapsed="false">
      <c r="A25" s="7" t="s">
        <v>308</v>
      </c>
      <c r="B25" s="5" t="s">
        <v>309</v>
      </c>
      <c r="C25" s="8" t="s">
        <v>331</v>
      </c>
      <c r="D25" s="4" t="s">
        <v>332</v>
      </c>
      <c r="E25" s="5" t="s">
        <v>312</v>
      </c>
      <c r="F25" s="5" t="s">
        <v>333</v>
      </c>
      <c r="G25" s="5" t="s">
        <v>334</v>
      </c>
      <c r="H25" s="5" t="s">
        <v>335</v>
      </c>
      <c r="I25" s="5" t="s">
        <v>336</v>
      </c>
      <c r="J25" s="7" t="s">
        <v>31</v>
      </c>
      <c r="K25" s="7" t="s">
        <v>317</v>
      </c>
      <c r="L25" s="7" t="s">
        <v>183</v>
      </c>
      <c r="M25" s="5"/>
      <c r="N25" s="7" t="n">
        <v>3</v>
      </c>
      <c r="O25" s="5" t="s">
        <v>337</v>
      </c>
      <c r="P25" s="7" t="s">
        <v>185</v>
      </c>
      <c r="Q25" s="7"/>
    </row>
    <row r="26" customFormat="false" ht="111" hidden="false" customHeight="true" outlineLevel="0" collapsed="false">
      <c r="A26" s="7" t="s">
        <v>308</v>
      </c>
      <c r="B26" s="5" t="s">
        <v>309</v>
      </c>
      <c r="C26" s="8" t="s">
        <v>338</v>
      </c>
      <c r="D26" s="4" t="s">
        <v>339</v>
      </c>
      <c r="E26" s="5" t="s">
        <v>340</v>
      </c>
      <c r="F26" s="5" t="s">
        <v>341</v>
      </c>
      <c r="G26" s="5" t="s">
        <v>342</v>
      </c>
      <c r="H26" s="5" t="s">
        <v>343</v>
      </c>
      <c r="I26" s="5" t="s">
        <v>344</v>
      </c>
      <c r="J26" s="7" t="s">
        <v>31</v>
      </c>
      <c r="K26" s="7" t="s">
        <v>317</v>
      </c>
      <c r="L26" s="7" t="s">
        <v>183</v>
      </c>
      <c r="M26" s="5"/>
      <c r="N26" s="7" t="n">
        <v>3</v>
      </c>
      <c r="O26" s="5" t="s">
        <v>345</v>
      </c>
      <c r="P26" s="7" t="s">
        <v>208</v>
      </c>
      <c r="Q26" s="7"/>
    </row>
    <row r="27" customFormat="false" ht="171" hidden="false" customHeight="true" outlineLevel="0" collapsed="false">
      <c r="A27" s="7" t="s">
        <v>346</v>
      </c>
      <c r="B27" s="5" t="s">
        <v>347</v>
      </c>
      <c r="C27" s="8" t="s">
        <v>348</v>
      </c>
      <c r="D27" s="4" t="s">
        <v>349</v>
      </c>
      <c r="E27" s="5" t="s">
        <v>350</v>
      </c>
      <c r="F27" s="5" t="s">
        <v>351</v>
      </c>
      <c r="G27" s="5" t="s">
        <v>352</v>
      </c>
      <c r="H27" s="5" t="s">
        <v>353</v>
      </c>
      <c r="I27" s="5" t="s">
        <v>354</v>
      </c>
      <c r="J27" s="7" t="s">
        <v>31</v>
      </c>
      <c r="K27" s="7" t="s">
        <v>317</v>
      </c>
      <c r="L27" s="7" t="s">
        <v>183</v>
      </c>
      <c r="M27" s="5"/>
      <c r="N27" s="7" t="n">
        <v>8</v>
      </c>
      <c r="O27" s="5" t="s">
        <v>331</v>
      </c>
      <c r="P27" s="7" t="s">
        <v>185</v>
      </c>
      <c r="Q27" s="7" t="s">
        <v>355</v>
      </c>
    </row>
    <row r="28" customFormat="false" ht="111" hidden="false" customHeight="true" outlineLevel="0" collapsed="false">
      <c r="A28" s="7" t="s">
        <v>346</v>
      </c>
      <c r="B28" s="5" t="s">
        <v>347</v>
      </c>
      <c r="C28" s="8" t="s">
        <v>356</v>
      </c>
      <c r="D28" s="4" t="s">
        <v>357</v>
      </c>
      <c r="E28" s="5" t="s">
        <v>340</v>
      </c>
      <c r="F28" s="5" t="s">
        <v>358</v>
      </c>
      <c r="G28" s="5" t="s">
        <v>359</v>
      </c>
      <c r="H28" s="5" t="s">
        <v>360</v>
      </c>
      <c r="I28" s="5" t="s">
        <v>361</v>
      </c>
      <c r="J28" s="7" t="s">
        <v>31</v>
      </c>
      <c r="K28" s="7" t="s">
        <v>317</v>
      </c>
      <c r="L28" s="7" t="s">
        <v>183</v>
      </c>
      <c r="M28" s="5"/>
      <c r="N28" s="7" t="n">
        <v>3</v>
      </c>
      <c r="O28" s="5" t="s">
        <v>362</v>
      </c>
      <c r="P28" s="7" t="s">
        <v>185</v>
      </c>
      <c r="Q28" s="7" t="s">
        <v>226</v>
      </c>
    </row>
    <row r="29" customFormat="false" ht="111" hidden="false" customHeight="true" outlineLevel="0" collapsed="false">
      <c r="A29" s="7" t="s">
        <v>346</v>
      </c>
      <c r="B29" s="5" t="s">
        <v>347</v>
      </c>
      <c r="C29" s="8" t="s">
        <v>363</v>
      </c>
      <c r="D29" s="4" t="s">
        <v>364</v>
      </c>
      <c r="E29" s="5" t="s">
        <v>365</v>
      </c>
      <c r="F29" s="5" t="s">
        <v>366</v>
      </c>
      <c r="G29" s="5" t="s">
        <v>367</v>
      </c>
      <c r="H29" s="5" t="s">
        <v>368</v>
      </c>
      <c r="I29" s="5" t="s">
        <v>369</v>
      </c>
      <c r="J29" s="7" t="s">
        <v>31</v>
      </c>
      <c r="K29" s="7" t="s">
        <v>317</v>
      </c>
      <c r="L29" s="7" t="s">
        <v>183</v>
      </c>
      <c r="M29" s="5"/>
      <c r="N29" s="7" t="n">
        <v>3</v>
      </c>
      <c r="O29" s="5" t="s">
        <v>356</v>
      </c>
      <c r="P29" s="7" t="s">
        <v>185</v>
      </c>
      <c r="Q29" s="7"/>
    </row>
    <row r="30" customFormat="false" ht="186" hidden="false" customHeight="true" outlineLevel="0" collapsed="false">
      <c r="A30" s="7" t="s">
        <v>346</v>
      </c>
      <c r="B30" s="5" t="s">
        <v>347</v>
      </c>
      <c r="C30" s="8" t="s">
        <v>370</v>
      </c>
      <c r="D30" s="4" t="s">
        <v>371</v>
      </c>
      <c r="E30" s="5" t="s">
        <v>188</v>
      </c>
      <c r="F30" s="5" t="s">
        <v>372</v>
      </c>
      <c r="G30" s="5" t="s">
        <v>373</v>
      </c>
      <c r="H30" s="5" t="s">
        <v>374</v>
      </c>
      <c r="I30" s="5" t="s">
        <v>375</v>
      </c>
      <c r="J30" s="7" t="s">
        <v>32</v>
      </c>
      <c r="K30" s="7" t="s">
        <v>207</v>
      </c>
      <c r="L30" s="7" t="s">
        <v>183</v>
      </c>
      <c r="M30" s="5"/>
      <c r="N30" s="7" t="n">
        <v>5</v>
      </c>
      <c r="O30" s="5" t="s">
        <v>376</v>
      </c>
      <c r="P30" s="7" t="s">
        <v>185</v>
      </c>
      <c r="Q30" s="7" t="s">
        <v>377</v>
      </c>
    </row>
    <row r="31" customFormat="false" ht="141" hidden="false" customHeight="true" outlineLevel="0" collapsed="false">
      <c r="A31" s="7" t="s">
        <v>346</v>
      </c>
      <c r="B31" s="5" t="s">
        <v>347</v>
      </c>
      <c r="C31" s="8" t="s">
        <v>378</v>
      </c>
      <c r="D31" s="4" t="s">
        <v>379</v>
      </c>
      <c r="E31" s="5" t="s">
        <v>365</v>
      </c>
      <c r="F31" s="5" t="s">
        <v>380</v>
      </c>
      <c r="G31" s="5" t="s">
        <v>381</v>
      </c>
      <c r="H31" s="5" t="s">
        <v>382</v>
      </c>
      <c r="I31" s="5" t="s">
        <v>383</v>
      </c>
      <c r="J31" s="7" t="s">
        <v>31</v>
      </c>
      <c r="K31" s="7" t="s">
        <v>317</v>
      </c>
      <c r="L31" s="7" t="s">
        <v>183</v>
      </c>
      <c r="M31" s="5"/>
      <c r="N31" s="7" t="n">
        <v>5</v>
      </c>
      <c r="O31" s="5" t="s">
        <v>384</v>
      </c>
      <c r="P31" s="7" t="s">
        <v>208</v>
      </c>
      <c r="Q31" s="7" t="s">
        <v>385</v>
      </c>
    </row>
    <row r="32" customFormat="false" ht="126" hidden="false" customHeight="true" outlineLevel="0" collapsed="false">
      <c r="A32" s="7" t="s">
        <v>346</v>
      </c>
      <c r="B32" s="5" t="s">
        <v>347</v>
      </c>
      <c r="C32" s="8" t="s">
        <v>386</v>
      </c>
      <c r="D32" s="4" t="s">
        <v>387</v>
      </c>
      <c r="E32" s="5" t="s">
        <v>188</v>
      </c>
      <c r="F32" s="5" t="s">
        <v>388</v>
      </c>
      <c r="G32" s="5" t="s">
        <v>389</v>
      </c>
      <c r="H32" s="5" t="s">
        <v>390</v>
      </c>
      <c r="I32" s="5" t="s">
        <v>391</v>
      </c>
      <c r="J32" s="7" t="s">
        <v>32</v>
      </c>
      <c r="K32" s="7" t="s">
        <v>207</v>
      </c>
      <c r="L32" s="7" t="s">
        <v>183</v>
      </c>
      <c r="M32" s="5"/>
      <c r="N32" s="7" t="n">
        <v>5</v>
      </c>
      <c r="O32" s="5" t="s">
        <v>392</v>
      </c>
      <c r="P32" s="7" t="s">
        <v>208</v>
      </c>
      <c r="Q32" s="7" t="s">
        <v>393</v>
      </c>
    </row>
    <row r="33" customFormat="false" ht="201" hidden="false" customHeight="true" outlineLevel="0" collapsed="false">
      <c r="A33" s="7" t="s">
        <v>394</v>
      </c>
      <c r="B33" s="5" t="s">
        <v>395</v>
      </c>
      <c r="C33" s="8" t="s">
        <v>396</v>
      </c>
      <c r="D33" s="4" t="s">
        <v>397</v>
      </c>
      <c r="E33" s="5" t="s">
        <v>340</v>
      </c>
      <c r="F33" s="5" t="s">
        <v>398</v>
      </c>
      <c r="G33" s="5" t="s">
        <v>399</v>
      </c>
      <c r="H33" s="5" t="s">
        <v>400</v>
      </c>
      <c r="I33" s="5" t="s">
        <v>401</v>
      </c>
      <c r="J33" s="7" t="s">
        <v>31</v>
      </c>
      <c r="K33" s="7" t="s">
        <v>402</v>
      </c>
      <c r="L33" s="7" t="s">
        <v>183</v>
      </c>
      <c r="M33" s="5"/>
      <c r="N33" s="7" t="n">
        <v>5</v>
      </c>
      <c r="O33" s="5" t="s">
        <v>403</v>
      </c>
      <c r="P33" s="7" t="s">
        <v>185</v>
      </c>
      <c r="Q33" s="7"/>
    </row>
    <row r="34" customFormat="false" ht="156" hidden="false" customHeight="true" outlineLevel="0" collapsed="false">
      <c r="A34" s="7" t="s">
        <v>394</v>
      </c>
      <c r="B34" s="5" t="s">
        <v>395</v>
      </c>
      <c r="C34" s="8" t="s">
        <v>404</v>
      </c>
      <c r="D34" s="4" t="s">
        <v>405</v>
      </c>
      <c r="E34" s="5" t="s">
        <v>406</v>
      </c>
      <c r="F34" s="5" t="s">
        <v>407</v>
      </c>
      <c r="G34" s="5" t="s">
        <v>408</v>
      </c>
      <c r="H34" s="5" t="s">
        <v>409</v>
      </c>
      <c r="I34" s="5" t="s">
        <v>410</v>
      </c>
      <c r="J34" s="7" t="s">
        <v>31</v>
      </c>
      <c r="K34" s="7" t="s">
        <v>402</v>
      </c>
      <c r="L34" s="7" t="s">
        <v>183</v>
      </c>
      <c r="M34" s="5"/>
      <c r="N34" s="7" t="n">
        <v>5</v>
      </c>
      <c r="O34" s="5" t="s">
        <v>396</v>
      </c>
      <c r="P34" s="7" t="s">
        <v>185</v>
      </c>
      <c r="Q34" s="7" t="s">
        <v>411</v>
      </c>
    </row>
    <row r="35" customFormat="false" ht="126" hidden="false" customHeight="true" outlineLevel="0" collapsed="false">
      <c r="A35" s="7" t="s">
        <v>394</v>
      </c>
      <c r="B35" s="5" t="s">
        <v>395</v>
      </c>
      <c r="C35" s="8" t="s">
        <v>412</v>
      </c>
      <c r="D35" s="4" t="s">
        <v>413</v>
      </c>
      <c r="E35" s="5" t="s">
        <v>340</v>
      </c>
      <c r="F35" s="5" t="s">
        <v>414</v>
      </c>
      <c r="G35" s="5" t="s">
        <v>415</v>
      </c>
      <c r="H35" s="5" t="s">
        <v>416</v>
      </c>
      <c r="I35" s="5" t="s">
        <v>417</v>
      </c>
      <c r="J35" s="7" t="s">
        <v>31</v>
      </c>
      <c r="K35" s="7" t="s">
        <v>402</v>
      </c>
      <c r="L35" s="7" t="s">
        <v>183</v>
      </c>
      <c r="M35" s="5"/>
      <c r="N35" s="7" t="n">
        <v>3</v>
      </c>
      <c r="O35" s="5" t="s">
        <v>418</v>
      </c>
      <c r="P35" s="7" t="s">
        <v>185</v>
      </c>
      <c r="Q35" s="7" t="s">
        <v>419</v>
      </c>
    </row>
    <row r="36" customFormat="false" ht="126" hidden="false" customHeight="true" outlineLevel="0" collapsed="false">
      <c r="A36" s="7" t="s">
        <v>394</v>
      </c>
      <c r="B36" s="5" t="s">
        <v>395</v>
      </c>
      <c r="C36" s="8" t="s">
        <v>420</v>
      </c>
      <c r="D36" s="4" t="s">
        <v>421</v>
      </c>
      <c r="E36" s="5" t="s">
        <v>312</v>
      </c>
      <c r="F36" s="5" t="s">
        <v>422</v>
      </c>
      <c r="G36" s="5" t="s">
        <v>423</v>
      </c>
      <c r="H36" s="5" t="s">
        <v>424</v>
      </c>
      <c r="I36" s="5" t="s">
        <v>425</v>
      </c>
      <c r="J36" s="7" t="s">
        <v>31</v>
      </c>
      <c r="K36" s="7" t="s">
        <v>402</v>
      </c>
      <c r="L36" s="7" t="s">
        <v>183</v>
      </c>
      <c r="M36" s="5"/>
      <c r="N36" s="7" t="n">
        <v>2</v>
      </c>
      <c r="O36" s="5" t="s">
        <v>404</v>
      </c>
      <c r="P36" s="7" t="s">
        <v>185</v>
      </c>
      <c r="Q36" s="7" t="s">
        <v>426</v>
      </c>
    </row>
    <row r="37" customFormat="false" ht="126" hidden="false" customHeight="true" outlineLevel="0" collapsed="false">
      <c r="A37" s="7" t="s">
        <v>394</v>
      </c>
      <c r="B37" s="5" t="s">
        <v>395</v>
      </c>
      <c r="C37" s="8" t="s">
        <v>427</v>
      </c>
      <c r="D37" s="4" t="s">
        <v>428</v>
      </c>
      <c r="E37" s="5" t="s">
        <v>188</v>
      </c>
      <c r="F37" s="5" t="s">
        <v>429</v>
      </c>
      <c r="G37" s="5" t="s">
        <v>430</v>
      </c>
      <c r="H37" s="5" t="s">
        <v>431</v>
      </c>
      <c r="I37" s="5" t="s">
        <v>432</v>
      </c>
      <c r="J37" s="7" t="s">
        <v>32</v>
      </c>
      <c r="K37" s="7" t="s">
        <v>207</v>
      </c>
      <c r="L37" s="7" t="s">
        <v>183</v>
      </c>
      <c r="M37" s="5"/>
      <c r="N37" s="7" t="n">
        <v>3</v>
      </c>
      <c r="O37" s="5" t="s">
        <v>412</v>
      </c>
      <c r="P37" s="7" t="s">
        <v>208</v>
      </c>
      <c r="Q37" s="7"/>
    </row>
    <row r="38" customFormat="false" ht="171" hidden="false" customHeight="true" outlineLevel="0" collapsed="false">
      <c r="A38" s="7" t="s">
        <v>433</v>
      </c>
      <c r="B38" s="5" t="s">
        <v>434</v>
      </c>
      <c r="C38" s="8" t="s">
        <v>435</v>
      </c>
      <c r="D38" s="4" t="s">
        <v>436</v>
      </c>
      <c r="E38" s="5" t="s">
        <v>240</v>
      </c>
      <c r="F38" s="5" t="s">
        <v>437</v>
      </c>
      <c r="G38" s="5" t="s">
        <v>438</v>
      </c>
      <c r="H38" s="5" t="s">
        <v>439</v>
      </c>
      <c r="I38" s="5" t="s">
        <v>440</v>
      </c>
      <c r="J38" s="7" t="s">
        <v>31</v>
      </c>
      <c r="K38" s="7" t="s">
        <v>402</v>
      </c>
      <c r="L38" s="7" t="s">
        <v>183</v>
      </c>
      <c r="M38" s="5"/>
      <c r="N38" s="7" t="n">
        <v>5</v>
      </c>
      <c r="O38" s="5" t="s">
        <v>441</v>
      </c>
      <c r="P38" s="7" t="s">
        <v>185</v>
      </c>
      <c r="Q38" s="7" t="s">
        <v>411</v>
      </c>
    </row>
    <row r="39" customFormat="false" ht="141" hidden="false" customHeight="true" outlineLevel="0" collapsed="false">
      <c r="A39" s="7" t="s">
        <v>433</v>
      </c>
      <c r="B39" s="5" t="s">
        <v>434</v>
      </c>
      <c r="C39" s="8" t="s">
        <v>442</v>
      </c>
      <c r="D39" s="4" t="s">
        <v>443</v>
      </c>
      <c r="E39" s="5" t="s">
        <v>240</v>
      </c>
      <c r="F39" s="5" t="s">
        <v>444</v>
      </c>
      <c r="G39" s="5" t="s">
        <v>445</v>
      </c>
      <c r="H39" s="5" t="s">
        <v>446</v>
      </c>
      <c r="I39" s="5" t="s">
        <v>447</v>
      </c>
      <c r="J39" s="7" t="s">
        <v>31</v>
      </c>
      <c r="K39" s="7" t="s">
        <v>402</v>
      </c>
      <c r="L39" s="7" t="s">
        <v>183</v>
      </c>
      <c r="M39" s="5"/>
      <c r="N39" s="7" t="n">
        <v>5</v>
      </c>
      <c r="O39" s="5" t="s">
        <v>435</v>
      </c>
      <c r="P39" s="7" t="s">
        <v>185</v>
      </c>
      <c r="Q39" s="7"/>
    </row>
    <row r="40" customFormat="false" ht="66" hidden="false" customHeight="true" outlineLevel="0" collapsed="false">
      <c r="A40" s="7" t="s">
        <v>433</v>
      </c>
      <c r="B40" s="5" t="s">
        <v>434</v>
      </c>
      <c r="C40" s="8" t="s">
        <v>448</v>
      </c>
      <c r="D40" s="4" t="s">
        <v>449</v>
      </c>
      <c r="E40" s="5" t="s">
        <v>240</v>
      </c>
      <c r="F40" s="5" t="s">
        <v>450</v>
      </c>
      <c r="G40" s="5" t="s">
        <v>451</v>
      </c>
      <c r="H40" s="5" t="s">
        <v>452</v>
      </c>
      <c r="I40" s="5" t="s">
        <v>453</v>
      </c>
      <c r="J40" s="7" t="s">
        <v>32</v>
      </c>
      <c r="K40" s="7" t="s">
        <v>402</v>
      </c>
      <c r="L40" s="7" t="s">
        <v>183</v>
      </c>
      <c r="M40" s="5"/>
      <c r="N40" s="7" t="n">
        <v>3</v>
      </c>
      <c r="O40" s="5" t="s">
        <v>442</v>
      </c>
      <c r="P40" s="7" t="s">
        <v>185</v>
      </c>
      <c r="Q40" s="7"/>
    </row>
    <row r="41" customFormat="false" ht="126" hidden="false" customHeight="true" outlineLevel="0" collapsed="false">
      <c r="A41" s="7" t="s">
        <v>433</v>
      </c>
      <c r="B41" s="5" t="s">
        <v>434</v>
      </c>
      <c r="C41" s="8" t="s">
        <v>454</v>
      </c>
      <c r="D41" s="4" t="s">
        <v>455</v>
      </c>
      <c r="E41" s="5" t="s">
        <v>340</v>
      </c>
      <c r="F41" s="5" t="s">
        <v>456</v>
      </c>
      <c r="G41" s="5" t="s">
        <v>457</v>
      </c>
      <c r="H41" s="5" t="s">
        <v>458</v>
      </c>
      <c r="I41" s="5" t="s">
        <v>459</v>
      </c>
      <c r="J41" s="7" t="s">
        <v>31</v>
      </c>
      <c r="K41" s="7" t="s">
        <v>402</v>
      </c>
      <c r="L41" s="7" t="s">
        <v>183</v>
      </c>
      <c r="M41" s="5"/>
      <c r="N41" s="7" t="n">
        <v>2</v>
      </c>
      <c r="O41" s="5" t="s">
        <v>460</v>
      </c>
      <c r="P41" s="7" t="s">
        <v>185</v>
      </c>
      <c r="Q41" s="7" t="s">
        <v>461</v>
      </c>
    </row>
    <row r="42" customFormat="false" ht="96" hidden="false" customHeight="true" outlineLevel="0" collapsed="false">
      <c r="A42" s="7" t="s">
        <v>433</v>
      </c>
      <c r="B42" s="5" t="s">
        <v>434</v>
      </c>
      <c r="C42" s="8" t="s">
        <v>462</v>
      </c>
      <c r="D42" s="4" t="s">
        <v>463</v>
      </c>
      <c r="E42" s="5" t="s">
        <v>188</v>
      </c>
      <c r="F42" s="5" t="s">
        <v>464</v>
      </c>
      <c r="G42" s="5" t="s">
        <v>465</v>
      </c>
      <c r="H42" s="5" t="s">
        <v>466</v>
      </c>
      <c r="I42" s="5" t="s">
        <v>467</v>
      </c>
      <c r="J42" s="7" t="s">
        <v>32</v>
      </c>
      <c r="K42" s="7" t="s">
        <v>207</v>
      </c>
      <c r="L42" s="7" t="s">
        <v>183</v>
      </c>
      <c r="M42" s="5"/>
      <c r="N42" s="7" t="n">
        <v>3</v>
      </c>
      <c r="O42" s="5" t="s">
        <v>396</v>
      </c>
      <c r="P42" s="7" t="s">
        <v>208</v>
      </c>
      <c r="Q42" s="7"/>
    </row>
    <row r="43" customFormat="false" ht="111" hidden="false" customHeight="true" outlineLevel="0" collapsed="false">
      <c r="A43" s="7" t="s">
        <v>433</v>
      </c>
      <c r="B43" s="5" t="s">
        <v>434</v>
      </c>
      <c r="C43" s="8" t="s">
        <v>468</v>
      </c>
      <c r="D43" s="4" t="s">
        <v>469</v>
      </c>
      <c r="E43" s="5" t="s">
        <v>340</v>
      </c>
      <c r="F43" s="5" t="s">
        <v>470</v>
      </c>
      <c r="G43" s="5" t="s">
        <v>471</v>
      </c>
      <c r="H43" s="5" t="s">
        <v>472</v>
      </c>
      <c r="I43" s="5" t="s">
        <v>473</v>
      </c>
      <c r="J43" s="7" t="s">
        <v>31</v>
      </c>
      <c r="K43" s="7" t="s">
        <v>402</v>
      </c>
      <c r="L43" s="7" t="s">
        <v>183</v>
      </c>
      <c r="M43" s="5"/>
      <c r="N43" s="7" t="n">
        <v>3</v>
      </c>
      <c r="O43" s="5" t="s">
        <v>435</v>
      </c>
      <c r="P43" s="7" t="s">
        <v>208</v>
      </c>
      <c r="Q43" s="7"/>
    </row>
    <row r="44" customFormat="false" ht="111" hidden="false" customHeight="true" outlineLevel="0" collapsed="false">
      <c r="A44" s="7" t="s">
        <v>474</v>
      </c>
      <c r="B44" s="5" t="s">
        <v>475</v>
      </c>
      <c r="C44" s="8" t="s">
        <v>476</v>
      </c>
      <c r="D44" s="4" t="s">
        <v>477</v>
      </c>
      <c r="E44" s="5" t="s">
        <v>188</v>
      </c>
      <c r="F44" s="5" t="s">
        <v>478</v>
      </c>
      <c r="G44" s="5" t="s">
        <v>479</v>
      </c>
      <c r="H44" s="5" t="s">
        <v>480</v>
      </c>
      <c r="I44" s="5" t="s">
        <v>481</v>
      </c>
      <c r="J44" s="7" t="s">
        <v>32</v>
      </c>
      <c r="K44" s="7" t="s">
        <v>207</v>
      </c>
      <c r="L44" s="7" t="s">
        <v>183</v>
      </c>
      <c r="M44" s="5"/>
      <c r="N44" s="7" t="n">
        <v>8</v>
      </c>
      <c r="O44" s="5" t="s">
        <v>482</v>
      </c>
      <c r="P44" s="7" t="s">
        <v>185</v>
      </c>
      <c r="Q44" s="7"/>
    </row>
    <row r="45" customFormat="false" ht="66" hidden="false" customHeight="true" outlineLevel="0" collapsed="false">
      <c r="A45" s="7" t="s">
        <v>474</v>
      </c>
      <c r="B45" s="5" t="s">
        <v>475</v>
      </c>
      <c r="C45" s="8" t="s">
        <v>483</v>
      </c>
      <c r="D45" s="4" t="s">
        <v>484</v>
      </c>
      <c r="E45" s="5" t="s">
        <v>240</v>
      </c>
      <c r="F45" s="5" t="s">
        <v>485</v>
      </c>
      <c r="G45" s="5" t="s">
        <v>486</v>
      </c>
      <c r="H45" s="5" t="s">
        <v>487</v>
      </c>
      <c r="I45" s="5" t="s">
        <v>488</v>
      </c>
      <c r="J45" s="7" t="s">
        <v>32</v>
      </c>
      <c r="K45" s="7" t="s">
        <v>207</v>
      </c>
      <c r="L45" s="7" t="s">
        <v>183</v>
      </c>
      <c r="M45" s="5"/>
      <c r="N45" s="7" t="n">
        <v>5</v>
      </c>
      <c r="O45" s="5" t="s">
        <v>489</v>
      </c>
      <c r="P45" s="7" t="s">
        <v>185</v>
      </c>
      <c r="Q45" s="7"/>
    </row>
    <row r="46" customFormat="false" ht="126" hidden="false" customHeight="true" outlineLevel="0" collapsed="false">
      <c r="A46" s="7" t="s">
        <v>474</v>
      </c>
      <c r="B46" s="5" t="s">
        <v>475</v>
      </c>
      <c r="C46" s="8" t="s">
        <v>490</v>
      </c>
      <c r="D46" s="4" t="s">
        <v>491</v>
      </c>
      <c r="E46" s="5" t="s">
        <v>177</v>
      </c>
      <c r="F46" s="5" t="s">
        <v>492</v>
      </c>
      <c r="G46" s="5" t="s">
        <v>493</v>
      </c>
      <c r="H46" s="5" t="s">
        <v>494</v>
      </c>
      <c r="I46" s="5" t="s">
        <v>495</v>
      </c>
      <c r="J46" s="7" t="s">
        <v>32</v>
      </c>
      <c r="K46" s="7" t="s">
        <v>207</v>
      </c>
      <c r="L46" s="7" t="s">
        <v>183</v>
      </c>
      <c r="M46" s="5"/>
      <c r="N46" s="7" t="n">
        <v>3</v>
      </c>
      <c r="O46" s="5" t="s">
        <v>496</v>
      </c>
      <c r="P46" s="7" t="s">
        <v>185</v>
      </c>
      <c r="Q46" s="7"/>
    </row>
    <row r="47" customFormat="false" ht="66" hidden="false" customHeight="true" outlineLevel="0" collapsed="false">
      <c r="A47" s="7" t="s">
        <v>474</v>
      </c>
      <c r="B47" s="5" t="s">
        <v>475</v>
      </c>
      <c r="C47" s="8" t="s">
        <v>497</v>
      </c>
      <c r="D47" s="4" t="s">
        <v>498</v>
      </c>
      <c r="E47" s="5" t="s">
        <v>240</v>
      </c>
      <c r="F47" s="5" t="s">
        <v>499</v>
      </c>
      <c r="G47" s="5" t="s">
        <v>500</v>
      </c>
      <c r="H47" s="5" t="s">
        <v>501</v>
      </c>
      <c r="I47" s="5" t="s">
        <v>502</v>
      </c>
      <c r="J47" s="7" t="s">
        <v>32</v>
      </c>
      <c r="K47" s="7" t="s">
        <v>207</v>
      </c>
      <c r="L47" s="7" t="s">
        <v>183</v>
      </c>
      <c r="M47" s="5"/>
      <c r="N47" s="7" t="n">
        <v>3</v>
      </c>
      <c r="O47" s="5" t="s">
        <v>396</v>
      </c>
      <c r="P47" s="7" t="s">
        <v>208</v>
      </c>
      <c r="Q47" s="7"/>
    </row>
    <row r="48" customFormat="false" ht="81" hidden="false" customHeight="true" outlineLevel="0" collapsed="false">
      <c r="A48" s="7" t="s">
        <v>503</v>
      </c>
      <c r="B48" s="5" t="s">
        <v>504</v>
      </c>
      <c r="C48" s="8" t="s">
        <v>505</v>
      </c>
      <c r="D48" s="4" t="s">
        <v>506</v>
      </c>
      <c r="E48" s="5" t="s">
        <v>188</v>
      </c>
      <c r="F48" s="5" t="s">
        <v>507</v>
      </c>
      <c r="G48" s="5" t="s">
        <v>508</v>
      </c>
      <c r="H48" s="5" t="s">
        <v>509</v>
      </c>
      <c r="I48" s="5" t="s">
        <v>510</v>
      </c>
      <c r="J48" s="7" t="s">
        <v>31</v>
      </c>
      <c r="K48" s="7" t="s">
        <v>207</v>
      </c>
      <c r="L48" s="7" t="s">
        <v>183</v>
      </c>
      <c r="M48" s="5"/>
      <c r="N48" s="7" t="n">
        <v>3</v>
      </c>
      <c r="O48" s="5" t="s">
        <v>511</v>
      </c>
      <c r="P48" s="7" t="s">
        <v>185</v>
      </c>
      <c r="Q48" s="7"/>
    </row>
    <row r="49" customFormat="false" ht="81" hidden="false" customHeight="true" outlineLevel="0" collapsed="false">
      <c r="A49" s="7" t="s">
        <v>503</v>
      </c>
      <c r="B49" s="5" t="s">
        <v>504</v>
      </c>
      <c r="C49" s="8" t="s">
        <v>512</v>
      </c>
      <c r="D49" s="4" t="s">
        <v>513</v>
      </c>
      <c r="E49" s="5" t="s">
        <v>188</v>
      </c>
      <c r="F49" s="5" t="s">
        <v>514</v>
      </c>
      <c r="G49" s="5" t="s">
        <v>515</v>
      </c>
      <c r="H49" s="5" t="s">
        <v>516</v>
      </c>
      <c r="I49" s="5" t="s">
        <v>517</v>
      </c>
      <c r="J49" s="7" t="s">
        <v>31</v>
      </c>
      <c r="K49" s="7" t="s">
        <v>207</v>
      </c>
      <c r="L49" s="7" t="s">
        <v>183</v>
      </c>
      <c r="M49" s="5"/>
      <c r="N49" s="7" t="n">
        <v>5</v>
      </c>
      <c r="O49" s="5" t="s">
        <v>518</v>
      </c>
      <c r="P49" s="7" t="s">
        <v>185</v>
      </c>
      <c r="Q49" s="7"/>
    </row>
    <row r="50" customFormat="false" ht="141" hidden="false" customHeight="true" outlineLevel="0" collapsed="false">
      <c r="A50" s="7" t="s">
        <v>503</v>
      </c>
      <c r="B50" s="5" t="s">
        <v>504</v>
      </c>
      <c r="C50" s="8" t="s">
        <v>519</v>
      </c>
      <c r="D50" s="4" t="s">
        <v>520</v>
      </c>
      <c r="E50" s="5" t="s">
        <v>188</v>
      </c>
      <c r="F50" s="5" t="s">
        <v>521</v>
      </c>
      <c r="G50" s="5" t="s">
        <v>522</v>
      </c>
      <c r="H50" s="5" t="s">
        <v>523</v>
      </c>
      <c r="I50" s="5" t="s">
        <v>524</v>
      </c>
      <c r="J50" s="7" t="s">
        <v>32</v>
      </c>
      <c r="K50" s="7" t="s">
        <v>207</v>
      </c>
      <c r="L50" s="7" t="s">
        <v>183</v>
      </c>
      <c r="M50" s="5"/>
      <c r="N50" s="7" t="n">
        <v>3</v>
      </c>
      <c r="O50" s="5" t="s">
        <v>211</v>
      </c>
      <c r="P50" s="7" t="s">
        <v>185</v>
      </c>
      <c r="Q50" s="7" t="s">
        <v>525</v>
      </c>
    </row>
    <row r="51" customFormat="false" ht="66" hidden="false" customHeight="true" outlineLevel="0" collapsed="false">
      <c r="A51" s="7" t="s">
        <v>503</v>
      </c>
      <c r="B51" s="5" t="s">
        <v>504</v>
      </c>
      <c r="C51" s="8" t="s">
        <v>526</v>
      </c>
      <c r="D51" s="4" t="s">
        <v>527</v>
      </c>
      <c r="E51" s="5" t="s">
        <v>188</v>
      </c>
      <c r="F51" s="5" t="s">
        <v>528</v>
      </c>
      <c r="G51" s="5" t="s">
        <v>529</v>
      </c>
      <c r="H51" s="5" t="s">
        <v>530</v>
      </c>
      <c r="I51" s="5" t="s">
        <v>531</v>
      </c>
      <c r="J51" s="7" t="s">
        <v>33</v>
      </c>
      <c r="K51" s="7" t="s">
        <v>274</v>
      </c>
      <c r="L51" s="7" t="s">
        <v>183</v>
      </c>
      <c r="M51" s="5"/>
      <c r="N51" s="7" t="n">
        <v>3</v>
      </c>
      <c r="O51" s="5"/>
      <c r="P51" s="7" t="s">
        <v>208</v>
      </c>
      <c r="Q51" s="7"/>
    </row>
    <row r="52" customFormat="false" ht="111" hidden="false" customHeight="true" outlineLevel="0" collapsed="false">
      <c r="A52" s="7" t="s">
        <v>532</v>
      </c>
      <c r="B52" s="5" t="s">
        <v>533</v>
      </c>
      <c r="C52" s="8" t="s">
        <v>534</v>
      </c>
      <c r="D52" s="4" t="s">
        <v>535</v>
      </c>
      <c r="E52" s="5" t="s">
        <v>340</v>
      </c>
      <c r="F52" s="5" t="s">
        <v>536</v>
      </c>
      <c r="G52" s="5" t="s">
        <v>537</v>
      </c>
      <c r="H52" s="5" t="s">
        <v>538</v>
      </c>
      <c r="I52" s="5" t="s">
        <v>539</v>
      </c>
      <c r="J52" s="7" t="s">
        <v>31</v>
      </c>
      <c r="K52" s="7" t="s">
        <v>402</v>
      </c>
      <c r="L52" s="7" t="s">
        <v>183</v>
      </c>
      <c r="M52" s="5"/>
      <c r="N52" s="7" t="n">
        <v>2</v>
      </c>
      <c r="O52" s="5" t="s">
        <v>540</v>
      </c>
      <c r="P52" s="7" t="s">
        <v>185</v>
      </c>
      <c r="Q52" s="7"/>
    </row>
    <row r="53" customFormat="false" ht="81" hidden="false" customHeight="true" outlineLevel="0" collapsed="false">
      <c r="A53" s="7" t="s">
        <v>532</v>
      </c>
      <c r="B53" s="5" t="s">
        <v>533</v>
      </c>
      <c r="C53" s="8" t="s">
        <v>541</v>
      </c>
      <c r="D53" s="4" t="s">
        <v>542</v>
      </c>
      <c r="E53" s="5" t="s">
        <v>340</v>
      </c>
      <c r="F53" s="5" t="s">
        <v>543</v>
      </c>
      <c r="G53" s="5" t="s">
        <v>544</v>
      </c>
      <c r="H53" s="5" t="s">
        <v>545</v>
      </c>
      <c r="I53" s="5" t="s">
        <v>546</v>
      </c>
      <c r="J53" s="7" t="s">
        <v>32</v>
      </c>
      <c r="K53" s="7" t="s">
        <v>207</v>
      </c>
      <c r="L53" s="7" t="s">
        <v>183</v>
      </c>
      <c r="M53" s="5"/>
      <c r="N53" s="7" t="n">
        <v>2</v>
      </c>
      <c r="O53" s="5" t="s">
        <v>547</v>
      </c>
      <c r="P53" s="7" t="s">
        <v>185</v>
      </c>
      <c r="Q53" s="7" t="s">
        <v>548</v>
      </c>
    </row>
    <row r="54" customFormat="false" ht="156" hidden="false" customHeight="true" outlineLevel="0" collapsed="false">
      <c r="A54" s="7" t="s">
        <v>532</v>
      </c>
      <c r="B54" s="5" t="s">
        <v>533</v>
      </c>
      <c r="C54" s="8" t="s">
        <v>549</v>
      </c>
      <c r="D54" s="4" t="s">
        <v>550</v>
      </c>
      <c r="E54" s="5" t="s">
        <v>340</v>
      </c>
      <c r="F54" s="5" t="s">
        <v>551</v>
      </c>
      <c r="G54" s="5" t="s">
        <v>552</v>
      </c>
      <c r="H54" s="5" t="s">
        <v>553</v>
      </c>
      <c r="I54" s="5" t="s">
        <v>554</v>
      </c>
      <c r="J54" s="7" t="s">
        <v>31</v>
      </c>
      <c r="K54" s="7" t="s">
        <v>182</v>
      </c>
      <c r="L54" s="7" t="s">
        <v>183</v>
      </c>
      <c r="M54" s="5"/>
      <c r="N54" s="7" t="n">
        <v>5</v>
      </c>
      <c r="O54" s="5" t="s">
        <v>555</v>
      </c>
      <c r="P54" s="7" t="s">
        <v>185</v>
      </c>
      <c r="Q54" s="7"/>
    </row>
    <row r="55" customFormat="false" ht="66" hidden="false" customHeight="true" outlineLevel="0" collapsed="false">
      <c r="A55" s="7" t="s">
        <v>556</v>
      </c>
      <c r="B55" s="5" t="s">
        <v>15</v>
      </c>
      <c r="C55" s="8" t="s">
        <v>557</v>
      </c>
      <c r="D55" s="4" t="s">
        <v>558</v>
      </c>
      <c r="E55" s="5" t="s">
        <v>188</v>
      </c>
      <c r="F55" s="5" t="s">
        <v>559</v>
      </c>
      <c r="G55" s="5" t="s">
        <v>560</v>
      </c>
      <c r="H55" s="5" t="s">
        <v>561</v>
      </c>
      <c r="I55" s="5" t="s">
        <v>562</v>
      </c>
      <c r="J55" s="7" t="s">
        <v>31</v>
      </c>
      <c r="K55" s="7" t="s">
        <v>182</v>
      </c>
      <c r="L55" s="7" t="s">
        <v>183</v>
      </c>
      <c r="M55" s="5"/>
      <c r="N55" s="7" t="n">
        <v>2</v>
      </c>
      <c r="O55" s="5" t="s">
        <v>563</v>
      </c>
      <c r="P55" s="7" t="s">
        <v>185</v>
      </c>
      <c r="Q55" s="7"/>
    </row>
    <row r="56" customFormat="false" ht="96" hidden="false" customHeight="true" outlineLevel="0" collapsed="false">
      <c r="A56" s="7" t="s">
        <v>556</v>
      </c>
      <c r="B56" s="5" t="s">
        <v>15</v>
      </c>
      <c r="C56" s="8" t="s">
        <v>564</v>
      </c>
      <c r="D56" s="4" t="s">
        <v>565</v>
      </c>
      <c r="E56" s="5" t="s">
        <v>566</v>
      </c>
      <c r="F56" s="5" t="s">
        <v>567</v>
      </c>
      <c r="G56" s="5" t="s">
        <v>568</v>
      </c>
      <c r="H56" s="5" t="s">
        <v>569</v>
      </c>
      <c r="I56" s="5" t="s">
        <v>570</v>
      </c>
      <c r="J56" s="7" t="s">
        <v>31</v>
      </c>
      <c r="K56" s="7" t="s">
        <v>182</v>
      </c>
      <c r="L56" s="7" t="s">
        <v>183</v>
      </c>
      <c r="M56" s="5"/>
      <c r="N56" s="7" t="n">
        <v>3</v>
      </c>
      <c r="O56" s="5" t="s">
        <v>557</v>
      </c>
      <c r="P56" s="7" t="s">
        <v>185</v>
      </c>
      <c r="Q56" s="7"/>
    </row>
    <row r="57" customFormat="false" ht="96" hidden="false" customHeight="true" outlineLevel="0" collapsed="false">
      <c r="A57" s="7" t="s">
        <v>556</v>
      </c>
      <c r="B57" s="5" t="s">
        <v>15</v>
      </c>
      <c r="C57" s="8" t="s">
        <v>571</v>
      </c>
      <c r="D57" s="4" t="s">
        <v>572</v>
      </c>
      <c r="E57" s="5" t="s">
        <v>240</v>
      </c>
      <c r="F57" s="5" t="s">
        <v>573</v>
      </c>
      <c r="G57" s="5" t="s">
        <v>574</v>
      </c>
      <c r="H57" s="5" t="s">
        <v>575</v>
      </c>
      <c r="I57" s="5" t="s">
        <v>576</v>
      </c>
      <c r="J57" s="7" t="s">
        <v>31</v>
      </c>
      <c r="K57" s="7" t="s">
        <v>234</v>
      </c>
      <c r="L57" s="7" t="s">
        <v>183</v>
      </c>
      <c r="M57" s="5"/>
      <c r="N57" s="7" t="n">
        <v>3</v>
      </c>
      <c r="O57" s="5" t="s">
        <v>577</v>
      </c>
      <c r="P57" s="7" t="s">
        <v>185</v>
      </c>
      <c r="Q57" s="7"/>
    </row>
    <row r="58" customFormat="false" ht="66" hidden="false" customHeight="true" outlineLevel="0" collapsed="false">
      <c r="A58" s="7" t="s">
        <v>556</v>
      </c>
      <c r="B58" s="5" t="s">
        <v>15</v>
      </c>
      <c r="C58" s="8" t="s">
        <v>578</v>
      </c>
      <c r="D58" s="4" t="s">
        <v>579</v>
      </c>
      <c r="E58" s="5" t="s">
        <v>240</v>
      </c>
      <c r="F58" s="5" t="s">
        <v>580</v>
      </c>
      <c r="G58" s="5" t="s">
        <v>581</v>
      </c>
      <c r="H58" s="5" t="s">
        <v>582</v>
      </c>
      <c r="I58" s="5" t="s">
        <v>583</v>
      </c>
      <c r="J58" s="7" t="s">
        <v>32</v>
      </c>
      <c r="K58" s="7" t="s">
        <v>234</v>
      </c>
      <c r="L58" s="7" t="s">
        <v>183</v>
      </c>
      <c r="M58" s="5"/>
      <c r="N58" s="7" t="n">
        <v>2</v>
      </c>
      <c r="O58" s="5" t="s">
        <v>584</v>
      </c>
      <c r="P58" s="7" t="s">
        <v>185</v>
      </c>
      <c r="Q58" s="7"/>
    </row>
    <row r="59" customFormat="false" ht="81" hidden="false" customHeight="true" outlineLevel="0" collapsed="false">
      <c r="A59" s="7" t="s">
        <v>556</v>
      </c>
      <c r="B59" s="5" t="s">
        <v>15</v>
      </c>
      <c r="C59" s="8" t="s">
        <v>585</v>
      </c>
      <c r="D59" s="4" t="s">
        <v>586</v>
      </c>
      <c r="E59" s="5" t="s">
        <v>340</v>
      </c>
      <c r="F59" s="5" t="s">
        <v>587</v>
      </c>
      <c r="G59" s="5" t="s">
        <v>588</v>
      </c>
      <c r="H59" s="5" t="s">
        <v>589</v>
      </c>
      <c r="I59" s="5" t="s">
        <v>590</v>
      </c>
      <c r="J59" s="7" t="s">
        <v>31</v>
      </c>
      <c r="K59" s="7" t="s">
        <v>402</v>
      </c>
      <c r="L59" s="7" t="s">
        <v>183</v>
      </c>
      <c r="M59" s="5"/>
      <c r="N59" s="7" t="n">
        <v>3</v>
      </c>
      <c r="O59" s="5" t="s">
        <v>591</v>
      </c>
      <c r="P59" s="7" t="s">
        <v>185</v>
      </c>
      <c r="Q59" s="7"/>
    </row>
    <row r="60" customFormat="false" ht="111" hidden="false" customHeight="true" outlineLevel="0" collapsed="false">
      <c r="A60" s="7" t="s">
        <v>556</v>
      </c>
      <c r="B60" s="5" t="s">
        <v>15</v>
      </c>
      <c r="C60" s="8" t="s">
        <v>592</v>
      </c>
      <c r="D60" s="4" t="s">
        <v>593</v>
      </c>
      <c r="E60" s="5" t="s">
        <v>340</v>
      </c>
      <c r="F60" s="5" t="s">
        <v>594</v>
      </c>
      <c r="G60" s="5" t="s">
        <v>595</v>
      </c>
      <c r="H60" s="5" t="s">
        <v>596</v>
      </c>
      <c r="I60" s="5" t="s">
        <v>597</v>
      </c>
      <c r="J60" s="7" t="s">
        <v>31</v>
      </c>
      <c r="K60" s="7" t="s">
        <v>182</v>
      </c>
      <c r="L60" s="7" t="s">
        <v>183</v>
      </c>
      <c r="M60" s="5"/>
      <c r="N60" s="7" t="n">
        <v>3</v>
      </c>
      <c r="O60" s="5" t="s">
        <v>598</v>
      </c>
      <c r="P60" s="7" t="s">
        <v>185</v>
      </c>
      <c r="Q60" s="7"/>
    </row>
    <row r="61" customFormat="false" ht="51" hidden="false" customHeight="true" outlineLevel="0" collapsed="false">
      <c r="A61" s="7" t="s">
        <v>556</v>
      </c>
      <c r="B61" s="5" t="s">
        <v>15</v>
      </c>
      <c r="C61" s="8" t="s">
        <v>599</v>
      </c>
      <c r="D61" s="4" t="s">
        <v>600</v>
      </c>
      <c r="E61" s="5" t="s">
        <v>340</v>
      </c>
      <c r="F61" s="5" t="s">
        <v>601</v>
      </c>
      <c r="G61" s="5" t="s">
        <v>602</v>
      </c>
      <c r="H61" s="5" t="s">
        <v>603</v>
      </c>
      <c r="I61" s="5" t="s">
        <v>604</v>
      </c>
      <c r="J61" s="7" t="s">
        <v>31</v>
      </c>
      <c r="K61" s="7" t="s">
        <v>182</v>
      </c>
      <c r="L61" s="7" t="s">
        <v>183</v>
      </c>
      <c r="M61" s="5"/>
      <c r="N61" s="7" t="n">
        <v>2</v>
      </c>
      <c r="O61" s="5" t="s">
        <v>557</v>
      </c>
      <c r="P61" s="7" t="s">
        <v>185</v>
      </c>
      <c r="Q61" s="7"/>
    </row>
    <row r="62" customFormat="false" ht="96" hidden="false" customHeight="true" outlineLevel="0" collapsed="false">
      <c r="A62" s="7" t="s">
        <v>556</v>
      </c>
      <c r="B62" s="5" t="s">
        <v>15</v>
      </c>
      <c r="C62" s="8" t="s">
        <v>605</v>
      </c>
      <c r="D62" s="4" t="s">
        <v>606</v>
      </c>
      <c r="E62" s="5" t="s">
        <v>566</v>
      </c>
      <c r="F62" s="5" t="s">
        <v>607</v>
      </c>
      <c r="G62" s="5" t="s">
        <v>608</v>
      </c>
      <c r="H62" s="5" t="s">
        <v>609</v>
      </c>
      <c r="I62" s="5" t="s">
        <v>610</v>
      </c>
      <c r="J62" s="7" t="s">
        <v>31</v>
      </c>
      <c r="K62" s="7" t="s">
        <v>182</v>
      </c>
      <c r="L62" s="7" t="s">
        <v>183</v>
      </c>
      <c r="M62" s="5"/>
      <c r="N62" s="7" t="n">
        <v>5</v>
      </c>
      <c r="O62" s="5" t="s">
        <v>611</v>
      </c>
      <c r="P62" s="7" t="s">
        <v>185</v>
      </c>
      <c r="Q62" s="7"/>
    </row>
    <row r="63" customFormat="false" ht="156" hidden="false" customHeight="true" outlineLevel="0" collapsed="false">
      <c r="A63" s="7" t="s">
        <v>612</v>
      </c>
      <c r="B63" s="5" t="s">
        <v>613</v>
      </c>
      <c r="C63" s="8" t="s">
        <v>614</v>
      </c>
      <c r="D63" s="4" t="s">
        <v>615</v>
      </c>
      <c r="E63" s="5" t="s">
        <v>616</v>
      </c>
      <c r="F63" s="5" t="s">
        <v>617</v>
      </c>
      <c r="G63" s="5" t="s">
        <v>618</v>
      </c>
      <c r="H63" s="5" t="s">
        <v>619</v>
      </c>
      <c r="I63" s="5" t="s">
        <v>620</v>
      </c>
      <c r="J63" s="7" t="s">
        <v>31</v>
      </c>
      <c r="K63" s="7" t="s">
        <v>317</v>
      </c>
      <c r="L63" s="7" t="s">
        <v>183</v>
      </c>
      <c r="M63" s="5"/>
      <c r="N63" s="7" t="n">
        <v>3</v>
      </c>
      <c r="O63" s="5" t="s">
        <v>621</v>
      </c>
      <c r="P63" s="7" t="s">
        <v>208</v>
      </c>
      <c r="Q63" s="7" t="s">
        <v>622</v>
      </c>
    </row>
    <row r="64" customFormat="false" ht="81" hidden="false" customHeight="true" outlineLevel="0" collapsed="false">
      <c r="A64" s="7" t="s">
        <v>612</v>
      </c>
      <c r="B64" s="5" t="s">
        <v>613</v>
      </c>
      <c r="C64" s="8" t="s">
        <v>623</v>
      </c>
      <c r="D64" s="4" t="s">
        <v>624</v>
      </c>
      <c r="E64" s="5" t="s">
        <v>340</v>
      </c>
      <c r="F64" s="5" t="s">
        <v>625</v>
      </c>
      <c r="G64" s="5" t="s">
        <v>626</v>
      </c>
      <c r="H64" s="5" t="s">
        <v>627</v>
      </c>
      <c r="I64" s="5" t="s">
        <v>628</v>
      </c>
      <c r="J64" s="7" t="s">
        <v>33</v>
      </c>
      <c r="K64" s="7" t="s">
        <v>274</v>
      </c>
      <c r="L64" s="7" t="s">
        <v>183</v>
      </c>
      <c r="M64" s="5"/>
      <c r="N64" s="7" t="n">
        <v>3</v>
      </c>
      <c r="O64" s="5"/>
      <c r="P64" s="7" t="s">
        <v>208</v>
      </c>
      <c r="Q64" s="7" t="s">
        <v>622</v>
      </c>
    </row>
    <row r="65" customFormat="false" ht="96" hidden="false" customHeight="true" outlineLevel="0" collapsed="false">
      <c r="A65" s="7" t="s">
        <v>612</v>
      </c>
      <c r="B65" s="5" t="s">
        <v>613</v>
      </c>
      <c r="C65" s="8" t="s">
        <v>621</v>
      </c>
      <c r="D65" s="4" t="s">
        <v>629</v>
      </c>
      <c r="E65" s="5" t="s">
        <v>188</v>
      </c>
      <c r="F65" s="5" t="s">
        <v>630</v>
      </c>
      <c r="G65" s="5" t="s">
        <v>631</v>
      </c>
      <c r="H65" s="5" t="s">
        <v>632</v>
      </c>
      <c r="I65" s="5" t="s">
        <v>633</v>
      </c>
      <c r="J65" s="7" t="s">
        <v>31</v>
      </c>
      <c r="K65" s="7" t="s">
        <v>317</v>
      </c>
      <c r="L65" s="7" t="s">
        <v>183</v>
      </c>
      <c r="M65" s="5"/>
      <c r="N65" s="7" t="n">
        <v>2</v>
      </c>
      <c r="O65" s="5"/>
      <c r="P65" s="7" t="s">
        <v>208</v>
      </c>
      <c r="Q65" s="7" t="s">
        <v>393</v>
      </c>
    </row>
  </sheetData>
  <autoFilter ref="A5:Q65"/>
  <mergeCells count="2">
    <mergeCell ref="A1:Q2"/>
    <mergeCell ref="A3:Q3"/>
  </mergeCells>
  <conditionalFormatting sqref="J6:J65">
    <cfRule type="cellIs" priority="2" operator="equal" aboveAverage="0" equalAverage="0" bottom="0" percent="0" rank="0" text="" dxfId="8">
      <formula>"P0"</formula>
    </cfRule>
    <cfRule type="cellIs" priority="3" operator="equal" aboveAverage="0" equalAverage="0" bottom="0" percent="0" rank="0" text="" dxfId="9">
      <formula>"P1"</formula>
    </cfRule>
    <cfRule type="cellIs" priority="4" operator="equal" aboveAverage="0" equalAverage="0" bottom="0" percent="0" rank="0" text="" dxfId="10">
      <formula>"P2"</formula>
    </cfRule>
  </conditionalFormatting>
  <conditionalFormatting sqref="P6:P65">
    <cfRule type="cellIs" priority="5" operator="equal" aboveAverage="0" equalAverage="0" bottom="0" percent="0" rank="0" text="" dxfId="11">
      <formula>"Nouveau"</formula>
    </cfRule>
  </conditionalFormatting>
  <dataValidations count="4">
    <dataValidation allowBlank="true" errorStyle="stop" operator="between" showDropDown="false" showErrorMessage="false" showInputMessage="false" sqref="J6:J65" type="list">
      <formula1>"P0,P1,P2"</formula1>
      <formula2>0</formula2>
    </dataValidation>
    <dataValidation allowBlank="true" errorStyle="stop" operator="between" showDropDown="false" showErrorMessage="false" showInputMessage="false" sqref="K6:K65" type="list">
      <formula1>"Lot 1,Lot 2,Lot 3,Lot 4,Lot 5,Lot 6"</formula1>
      <formula2>0</formula2>
    </dataValidation>
    <dataValidation allowBlank="true" errorStyle="stop" operator="between" showDropDown="false" showErrorMessage="false" showInputMessage="false" sqref="L6:L65" type="list">
      <formula1>"À faire,En cours,En revue,Terminé,Bloqué"</formula1>
      <formula2>0</formula2>
    </dataValidation>
    <dataValidation allowBlank="true" errorStyle="stop" operator="between" showDropDown="false" showErrorMessage="false" showInputMessage="false" sqref="P6:P65" type="list">
      <formula1>"Inchangé,Modifié,Réécrit,Nouveau"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4" min="4" style="0" width="32"/>
    <col collapsed="false" customWidth="true" hidden="false" outlineLevel="0" max="5" min="5" style="0" width="24"/>
    <col collapsed="false" customWidth="true" hidden="false" outlineLevel="0" max="6" min="6" style="0" width="70"/>
  </cols>
  <sheetData>
    <row r="1" customFormat="false" ht="15" hidden="false" customHeight="false" outlineLevel="0" collapsed="false">
      <c r="A1" s="1" t="s">
        <v>634</v>
      </c>
      <c r="B1" s="1"/>
      <c r="C1" s="1"/>
      <c r="D1" s="1"/>
      <c r="E1" s="1"/>
      <c r="F1" s="1"/>
    </row>
    <row r="2" customFormat="false" ht="15" hidden="false" customHeight="false" outlineLevel="0" collapsed="false">
      <c r="A2" s="1"/>
      <c r="B2" s="1"/>
      <c r="C2" s="1"/>
      <c r="D2" s="1"/>
      <c r="E2" s="1"/>
      <c r="F2" s="1"/>
    </row>
    <row r="3" customFormat="false" ht="21.75" hidden="false" customHeight="true" outlineLevel="0" collapsed="false">
      <c r="A3" s="2" t="s">
        <v>635</v>
      </c>
      <c r="B3" s="2"/>
      <c r="C3" s="2"/>
      <c r="D3" s="2"/>
      <c r="E3" s="2"/>
      <c r="F3" s="2"/>
    </row>
    <row r="5" customFormat="false" ht="31.5" hidden="false" customHeight="true" outlineLevel="0" collapsed="false">
      <c r="A5" s="6" t="s">
        <v>636</v>
      </c>
      <c r="B5" s="6" t="s">
        <v>637</v>
      </c>
      <c r="C5" s="6" t="s">
        <v>638</v>
      </c>
      <c r="D5" s="6" t="s">
        <v>639</v>
      </c>
      <c r="E5" s="6" t="s">
        <v>640</v>
      </c>
      <c r="F5" s="6" t="s">
        <v>641</v>
      </c>
    </row>
    <row r="6" customFormat="false" ht="18.75" hidden="false" customHeight="true" outlineLevel="0" collapsed="false">
      <c r="A6" s="9" t="s">
        <v>642</v>
      </c>
      <c r="B6" s="10" t="s">
        <v>643</v>
      </c>
      <c r="C6" s="10" t="s">
        <v>644</v>
      </c>
      <c r="D6" s="10" t="s">
        <v>645</v>
      </c>
      <c r="E6" s="10" t="s">
        <v>646</v>
      </c>
      <c r="F6" s="10" t="s">
        <v>211</v>
      </c>
    </row>
    <row r="7" customFormat="false" ht="18.75" hidden="false" customHeight="true" outlineLevel="0" collapsed="false">
      <c r="A7" s="9" t="s">
        <v>642</v>
      </c>
      <c r="B7" s="10" t="s">
        <v>644</v>
      </c>
      <c r="C7" s="10" t="s">
        <v>647</v>
      </c>
      <c r="D7" s="10" t="s">
        <v>648</v>
      </c>
      <c r="E7" s="10" t="s">
        <v>646</v>
      </c>
      <c r="F7" s="10" t="s">
        <v>649</v>
      </c>
    </row>
    <row r="8" customFormat="false" ht="33.75" hidden="false" customHeight="true" outlineLevel="0" collapsed="false">
      <c r="A8" s="9" t="s">
        <v>642</v>
      </c>
      <c r="B8" s="10" t="s">
        <v>647</v>
      </c>
      <c r="C8" s="10" t="s">
        <v>650</v>
      </c>
      <c r="D8" s="10" t="s">
        <v>651</v>
      </c>
      <c r="E8" s="10" t="s">
        <v>646</v>
      </c>
      <c r="F8" s="10" t="s">
        <v>652</v>
      </c>
    </row>
    <row r="9" customFormat="false" ht="18.75" hidden="false" customHeight="true" outlineLevel="0" collapsed="false">
      <c r="A9" s="9" t="s">
        <v>642</v>
      </c>
      <c r="B9" s="10" t="s">
        <v>650</v>
      </c>
      <c r="C9" s="10" t="s">
        <v>647</v>
      </c>
      <c r="D9" s="10" t="s">
        <v>653</v>
      </c>
      <c r="E9" s="10" t="s">
        <v>646</v>
      </c>
      <c r="F9" s="10" t="s">
        <v>654</v>
      </c>
    </row>
    <row r="10" customFormat="false" ht="18.75" hidden="false" customHeight="true" outlineLevel="0" collapsed="false">
      <c r="A10" s="9" t="s">
        <v>642</v>
      </c>
      <c r="B10" s="10" t="s">
        <v>655</v>
      </c>
      <c r="C10" s="10" t="s">
        <v>656</v>
      </c>
      <c r="D10" s="10" t="s">
        <v>657</v>
      </c>
      <c r="E10" s="10" t="s">
        <v>646</v>
      </c>
      <c r="F10" s="10" t="s">
        <v>658</v>
      </c>
    </row>
    <row r="11" customFormat="false" ht="18.75" hidden="false" customHeight="true" outlineLevel="0" collapsed="false">
      <c r="A11" s="4" t="s">
        <v>659</v>
      </c>
      <c r="B11" s="5" t="s">
        <v>643</v>
      </c>
      <c r="C11" s="5" t="s">
        <v>660</v>
      </c>
      <c r="D11" s="5" t="s">
        <v>661</v>
      </c>
      <c r="E11" s="5" t="s">
        <v>646</v>
      </c>
      <c r="F11" s="5" t="s">
        <v>662</v>
      </c>
    </row>
    <row r="12" customFormat="false" ht="18.75" hidden="false" customHeight="true" outlineLevel="0" collapsed="false">
      <c r="A12" s="4" t="s">
        <v>659</v>
      </c>
      <c r="B12" s="5" t="s">
        <v>660</v>
      </c>
      <c r="C12" s="5" t="s">
        <v>647</v>
      </c>
      <c r="D12" s="5" t="s">
        <v>663</v>
      </c>
      <c r="E12" s="5" t="s">
        <v>664</v>
      </c>
      <c r="F12" s="5" t="s">
        <v>665</v>
      </c>
    </row>
    <row r="13" customFormat="false" ht="18.75" hidden="false" customHeight="true" outlineLevel="0" collapsed="false">
      <c r="A13" s="4" t="s">
        <v>659</v>
      </c>
      <c r="B13" s="5" t="s">
        <v>647</v>
      </c>
      <c r="C13" s="5" t="s">
        <v>666</v>
      </c>
      <c r="D13" s="5" t="s">
        <v>667</v>
      </c>
      <c r="E13" s="5" t="s">
        <v>646</v>
      </c>
      <c r="F13" s="5" t="s">
        <v>668</v>
      </c>
    </row>
    <row r="14" customFormat="false" ht="18.75" hidden="false" customHeight="true" outlineLevel="0" collapsed="false">
      <c r="A14" s="4" t="s">
        <v>659</v>
      </c>
      <c r="B14" s="5" t="s">
        <v>666</v>
      </c>
      <c r="C14" s="5" t="s">
        <v>647</v>
      </c>
      <c r="D14" s="5" t="s">
        <v>653</v>
      </c>
      <c r="E14" s="5" t="s">
        <v>646</v>
      </c>
      <c r="F14" s="5" t="s">
        <v>643</v>
      </c>
    </row>
    <row r="15" customFormat="false" ht="18.75" hidden="false" customHeight="true" outlineLevel="0" collapsed="false">
      <c r="A15" s="9" t="s">
        <v>669</v>
      </c>
      <c r="B15" s="10" t="s">
        <v>643</v>
      </c>
      <c r="C15" s="10" t="s">
        <v>644</v>
      </c>
      <c r="D15" s="10" t="s">
        <v>670</v>
      </c>
      <c r="E15" s="10" t="s">
        <v>664</v>
      </c>
      <c r="F15" s="10" t="s">
        <v>238</v>
      </c>
    </row>
    <row r="16" customFormat="false" ht="33.75" hidden="false" customHeight="true" outlineLevel="0" collapsed="false">
      <c r="A16" s="9" t="s">
        <v>669</v>
      </c>
      <c r="B16" s="10" t="s">
        <v>671</v>
      </c>
      <c r="C16" s="10" t="s">
        <v>672</v>
      </c>
      <c r="D16" s="10" t="s">
        <v>673</v>
      </c>
      <c r="E16" s="10" t="s">
        <v>664</v>
      </c>
      <c r="F16" s="10" t="s">
        <v>674</v>
      </c>
    </row>
    <row r="17" customFormat="false" ht="18.75" hidden="false" customHeight="true" outlineLevel="0" collapsed="false">
      <c r="A17" s="9" t="s">
        <v>669</v>
      </c>
      <c r="B17" s="10" t="s">
        <v>644</v>
      </c>
      <c r="C17" s="10" t="s">
        <v>675</v>
      </c>
      <c r="D17" s="10" t="s">
        <v>676</v>
      </c>
      <c r="E17" s="10" t="s">
        <v>664</v>
      </c>
      <c r="F17" s="10" t="s">
        <v>677</v>
      </c>
    </row>
    <row r="18" customFormat="false" ht="18.75" hidden="false" customHeight="true" outlineLevel="0" collapsed="false">
      <c r="A18" s="9" t="s">
        <v>669</v>
      </c>
      <c r="B18" s="10" t="s">
        <v>675</v>
      </c>
      <c r="C18" s="10" t="s">
        <v>678</v>
      </c>
      <c r="D18" s="10" t="s">
        <v>679</v>
      </c>
      <c r="E18" s="10" t="s">
        <v>646</v>
      </c>
      <c r="F18" s="10" t="s">
        <v>680</v>
      </c>
    </row>
    <row r="19" customFormat="false" ht="18.75" hidden="false" customHeight="true" outlineLevel="0" collapsed="false">
      <c r="A19" s="9" t="s">
        <v>669</v>
      </c>
      <c r="B19" s="10" t="s">
        <v>672</v>
      </c>
      <c r="C19" s="10" t="s">
        <v>681</v>
      </c>
      <c r="D19" s="10" t="s">
        <v>682</v>
      </c>
      <c r="E19" s="10" t="s">
        <v>683</v>
      </c>
      <c r="F19" s="10" t="s">
        <v>684</v>
      </c>
    </row>
    <row r="20" customFormat="false" ht="18.75" hidden="false" customHeight="true" outlineLevel="0" collapsed="false">
      <c r="A20" s="9" t="s">
        <v>669</v>
      </c>
      <c r="B20" s="10" t="s">
        <v>685</v>
      </c>
      <c r="C20" s="10" t="s">
        <v>656</v>
      </c>
      <c r="D20" s="10" t="s">
        <v>686</v>
      </c>
      <c r="E20" s="10" t="s">
        <v>664</v>
      </c>
      <c r="F20" s="10" t="s">
        <v>687</v>
      </c>
    </row>
    <row r="21" customFormat="false" ht="18.75" hidden="false" customHeight="true" outlineLevel="0" collapsed="false">
      <c r="A21" s="4" t="s">
        <v>688</v>
      </c>
      <c r="B21" s="5" t="s">
        <v>643</v>
      </c>
      <c r="C21" s="5" t="s">
        <v>689</v>
      </c>
      <c r="D21" s="5" t="s">
        <v>690</v>
      </c>
      <c r="E21" s="5" t="s">
        <v>312</v>
      </c>
      <c r="F21" s="5" t="s">
        <v>691</v>
      </c>
    </row>
    <row r="22" customFormat="false" ht="18.75" hidden="false" customHeight="true" outlineLevel="0" collapsed="false">
      <c r="A22" s="4" t="s">
        <v>688</v>
      </c>
      <c r="B22" s="5" t="s">
        <v>689</v>
      </c>
      <c r="C22" s="5" t="s">
        <v>692</v>
      </c>
      <c r="D22" s="5" t="s">
        <v>693</v>
      </c>
      <c r="E22" s="5" t="s">
        <v>694</v>
      </c>
      <c r="F22" s="5" t="s">
        <v>695</v>
      </c>
    </row>
    <row r="23" customFormat="false" ht="18.75" hidden="false" customHeight="true" outlineLevel="0" collapsed="false">
      <c r="A23" s="4" t="s">
        <v>688</v>
      </c>
      <c r="B23" s="5" t="s">
        <v>689</v>
      </c>
      <c r="C23" s="5" t="s">
        <v>696</v>
      </c>
      <c r="D23" s="5" t="s">
        <v>697</v>
      </c>
      <c r="E23" s="5" t="s">
        <v>340</v>
      </c>
      <c r="F23" s="5" t="s">
        <v>698</v>
      </c>
    </row>
    <row r="24" customFormat="false" ht="33.75" hidden="false" customHeight="true" outlineLevel="0" collapsed="false">
      <c r="A24" s="4" t="s">
        <v>688</v>
      </c>
      <c r="B24" s="5" t="s">
        <v>696</v>
      </c>
      <c r="C24" s="5" t="s">
        <v>692</v>
      </c>
      <c r="D24" s="5" t="s">
        <v>699</v>
      </c>
      <c r="E24" s="5" t="s">
        <v>700</v>
      </c>
      <c r="F24" s="5" t="s">
        <v>701</v>
      </c>
    </row>
    <row r="25" customFormat="false" ht="18.75" hidden="false" customHeight="true" outlineLevel="0" collapsed="false">
      <c r="A25" s="4" t="s">
        <v>688</v>
      </c>
      <c r="B25" s="5" t="s">
        <v>692</v>
      </c>
      <c r="C25" s="5" t="s">
        <v>702</v>
      </c>
      <c r="D25" s="5" t="s">
        <v>703</v>
      </c>
      <c r="E25" s="5" t="s">
        <v>646</v>
      </c>
      <c r="F25" s="5" t="s">
        <v>704</v>
      </c>
    </row>
    <row r="26" customFormat="false" ht="18.75" hidden="false" customHeight="true" outlineLevel="0" collapsed="false">
      <c r="A26" s="9" t="s">
        <v>705</v>
      </c>
      <c r="B26" s="10" t="s">
        <v>643</v>
      </c>
      <c r="C26" s="10" t="s">
        <v>706</v>
      </c>
      <c r="D26" s="10" t="s">
        <v>707</v>
      </c>
      <c r="E26" s="10" t="s">
        <v>340</v>
      </c>
      <c r="F26" s="10" t="s">
        <v>708</v>
      </c>
    </row>
    <row r="27" customFormat="false" ht="18.75" hidden="false" customHeight="true" outlineLevel="0" collapsed="false">
      <c r="A27" s="9" t="s">
        <v>705</v>
      </c>
      <c r="B27" s="10" t="s">
        <v>706</v>
      </c>
      <c r="C27" s="10" t="s">
        <v>709</v>
      </c>
      <c r="D27" s="10" t="s">
        <v>710</v>
      </c>
      <c r="E27" s="10" t="s">
        <v>711</v>
      </c>
      <c r="F27" s="10" t="s">
        <v>712</v>
      </c>
    </row>
    <row r="28" customFormat="false" ht="18.75" hidden="false" customHeight="true" outlineLevel="0" collapsed="false">
      <c r="A28" s="9" t="s">
        <v>705</v>
      </c>
      <c r="B28" s="10" t="s">
        <v>706</v>
      </c>
      <c r="C28" s="10" t="s">
        <v>713</v>
      </c>
      <c r="D28" s="10" t="s">
        <v>714</v>
      </c>
      <c r="E28" s="10" t="s">
        <v>715</v>
      </c>
      <c r="F28" s="10" t="s">
        <v>716</v>
      </c>
    </row>
    <row r="29" customFormat="false" ht="18.75" hidden="false" customHeight="true" outlineLevel="0" collapsed="false">
      <c r="A29" s="9" t="s">
        <v>705</v>
      </c>
      <c r="B29" s="10" t="s">
        <v>709</v>
      </c>
      <c r="C29" s="10" t="s">
        <v>702</v>
      </c>
      <c r="D29" s="10" t="s">
        <v>703</v>
      </c>
      <c r="E29" s="10" t="s">
        <v>646</v>
      </c>
      <c r="F29" s="10" t="s">
        <v>717</v>
      </c>
    </row>
    <row r="30" customFormat="false" ht="18.75" hidden="false" customHeight="true" outlineLevel="0" collapsed="false">
      <c r="A30" s="4" t="s">
        <v>718</v>
      </c>
      <c r="B30" s="5" t="s">
        <v>643</v>
      </c>
      <c r="C30" s="5" t="s">
        <v>647</v>
      </c>
      <c r="D30" s="5" t="s">
        <v>148</v>
      </c>
      <c r="E30" s="5" t="s">
        <v>340</v>
      </c>
      <c r="F30" s="5" t="s">
        <v>719</v>
      </c>
    </row>
    <row r="31" customFormat="false" ht="18.75" hidden="false" customHeight="true" outlineLevel="0" collapsed="false">
      <c r="A31" s="4" t="s">
        <v>718</v>
      </c>
      <c r="B31" s="5" t="s">
        <v>647</v>
      </c>
      <c r="C31" s="5" t="s">
        <v>720</v>
      </c>
      <c r="D31" s="5" t="s">
        <v>721</v>
      </c>
      <c r="E31" s="5" t="s">
        <v>664</v>
      </c>
      <c r="F31" s="5" t="s">
        <v>722</v>
      </c>
    </row>
    <row r="32" customFormat="false" ht="18.75" hidden="false" customHeight="true" outlineLevel="0" collapsed="false">
      <c r="A32" s="4" t="s">
        <v>718</v>
      </c>
      <c r="B32" s="5" t="s">
        <v>647</v>
      </c>
      <c r="C32" s="5" t="s">
        <v>696</v>
      </c>
      <c r="D32" s="5" t="s">
        <v>723</v>
      </c>
      <c r="E32" s="5" t="s">
        <v>340</v>
      </c>
      <c r="F32" s="5" t="s">
        <v>724</v>
      </c>
    </row>
    <row r="33" customFormat="false" ht="18.75" hidden="false" customHeight="true" outlineLevel="0" collapsed="false">
      <c r="A33" s="4" t="s">
        <v>718</v>
      </c>
      <c r="B33" s="5" t="s">
        <v>647</v>
      </c>
      <c r="C33" s="5" t="s">
        <v>725</v>
      </c>
      <c r="D33" s="5" t="s">
        <v>726</v>
      </c>
      <c r="E33" s="5" t="s">
        <v>646</v>
      </c>
      <c r="F33" s="5" t="s">
        <v>727</v>
      </c>
    </row>
    <row r="34" customFormat="false" ht="18.75" hidden="false" customHeight="true" outlineLevel="0" collapsed="false">
      <c r="A34" s="4" t="s">
        <v>718</v>
      </c>
      <c r="B34" s="5" t="s">
        <v>725</v>
      </c>
      <c r="C34" s="5" t="s">
        <v>647</v>
      </c>
      <c r="D34" s="5" t="s">
        <v>728</v>
      </c>
      <c r="E34" s="5" t="s">
        <v>646</v>
      </c>
      <c r="F34" s="5" t="s">
        <v>729</v>
      </c>
    </row>
    <row r="35" customFormat="false" ht="18.75" hidden="false" customHeight="true" outlineLevel="0" collapsed="false">
      <c r="A35" s="4" t="s">
        <v>718</v>
      </c>
      <c r="B35" s="5" t="s">
        <v>730</v>
      </c>
      <c r="C35" s="5" t="s">
        <v>731</v>
      </c>
      <c r="D35" s="5" t="s">
        <v>703</v>
      </c>
      <c r="E35" s="5" t="s">
        <v>646</v>
      </c>
      <c r="F35" s="5" t="s">
        <v>732</v>
      </c>
    </row>
    <row r="36" customFormat="false" ht="18.75" hidden="false" customHeight="true" outlineLevel="0" collapsed="false">
      <c r="A36" s="9" t="s">
        <v>733</v>
      </c>
      <c r="B36" s="10" t="s">
        <v>643</v>
      </c>
      <c r="C36" s="10" t="s">
        <v>734</v>
      </c>
      <c r="D36" s="10" t="s">
        <v>735</v>
      </c>
      <c r="E36" s="10" t="s">
        <v>340</v>
      </c>
      <c r="F36" s="10" t="s">
        <v>736</v>
      </c>
    </row>
    <row r="37" customFormat="false" ht="18.75" hidden="false" customHeight="true" outlineLevel="0" collapsed="false">
      <c r="A37" s="9" t="s">
        <v>733</v>
      </c>
      <c r="B37" s="10" t="s">
        <v>734</v>
      </c>
      <c r="C37" s="10" t="s">
        <v>737</v>
      </c>
      <c r="D37" s="10" t="s">
        <v>738</v>
      </c>
      <c r="E37" s="10" t="s">
        <v>340</v>
      </c>
      <c r="F37" s="10" t="s">
        <v>643</v>
      </c>
    </row>
    <row r="38" customFormat="false" ht="18.75" hidden="false" customHeight="true" outlineLevel="0" collapsed="false">
      <c r="A38" s="9" t="s">
        <v>733</v>
      </c>
      <c r="B38" s="10" t="s">
        <v>734</v>
      </c>
      <c r="C38" s="10" t="s">
        <v>739</v>
      </c>
      <c r="D38" s="10" t="s">
        <v>740</v>
      </c>
      <c r="E38" s="10" t="s">
        <v>340</v>
      </c>
      <c r="F38" s="10" t="s">
        <v>741</v>
      </c>
    </row>
    <row r="39" customFormat="false" ht="18.75" hidden="false" customHeight="true" outlineLevel="0" collapsed="false">
      <c r="A39" s="9" t="s">
        <v>733</v>
      </c>
      <c r="B39" s="10" t="s">
        <v>737</v>
      </c>
      <c r="C39" s="10" t="s">
        <v>742</v>
      </c>
      <c r="D39" s="10" t="s">
        <v>743</v>
      </c>
      <c r="E39" s="10" t="s">
        <v>744</v>
      </c>
      <c r="F39" s="10" t="s">
        <v>745</v>
      </c>
    </row>
    <row r="40" customFormat="false" ht="18.75" hidden="false" customHeight="true" outlineLevel="0" collapsed="false">
      <c r="A40" s="4" t="s">
        <v>746</v>
      </c>
      <c r="B40" s="5" t="s">
        <v>643</v>
      </c>
      <c r="C40" s="5" t="s">
        <v>747</v>
      </c>
      <c r="D40" s="5" t="s">
        <v>748</v>
      </c>
      <c r="E40" s="5" t="s">
        <v>340</v>
      </c>
      <c r="F40" s="5" t="s">
        <v>749</v>
      </c>
    </row>
    <row r="41" customFormat="false" ht="33.75" hidden="false" customHeight="true" outlineLevel="0" collapsed="false">
      <c r="A41" s="4" t="s">
        <v>746</v>
      </c>
      <c r="B41" s="5" t="s">
        <v>747</v>
      </c>
      <c r="C41" s="5" t="s">
        <v>750</v>
      </c>
      <c r="D41" s="5" t="s">
        <v>751</v>
      </c>
      <c r="E41" s="5" t="s">
        <v>406</v>
      </c>
      <c r="F41" s="5" t="s">
        <v>752</v>
      </c>
    </row>
    <row r="42" customFormat="false" ht="18.75" hidden="false" customHeight="true" outlineLevel="0" collapsed="false">
      <c r="A42" s="9" t="s">
        <v>753</v>
      </c>
      <c r="B42" s="10" t="s">
        <v>643</v>
      </c>
      <c r="C42" s="10" t="s">
        <v>754</v>
      </c>
      <c r="D42" s="10" t="s">
        <v>755</v>
      </c>
      <c r="E42" s="10" t="s">
        <v>340</v>
      </c>
      <c r="F42" s="10" t="s">
        <v>756</v>
      </c>
    </row>
    <row r="43" customFormat="false" ht="18.75" hidden="false" customHeight="true" outlineLevel="0" collapsed="false">
      <c r="A43" s="9" t="s">
        <v>753</v>
      </c>
      <c r="B43" s="10" t="s">
        <v>754</v>
      </c>
      <c r="C43" s="10" t="s">
        <v>757</v>
      </c>
      <c r="D43" s="10" t="s">
        <v>758</v>
      </c>
      <c r="E43" s="10" t="s">
        <v>646</v>
      </c>
      <c r="F43" s="10" t="s">
        <v>759</v>
      </c>
    </row>
    <row r="44" customFormat="false" ht="18.75" hidden="false" customHeight="true" outlineLevel="0" collapsed="false">
      <c r="A44" s="9" t="s">
        <v>753</v>
      </c>
      <c r="B44" s="10" t="s">
        <v>754</v>
      </c>
      <c r="C44" s="10" t="s">
        <v>760</v>
      </c>
      <c r="D44" s="10" t="s">
        <v>761</v>
      </c>
      <c r="E44" s="10" t="s">
        <v>646</v>
      </c>
      <c r="F44" s="10" t="s">
        <v>762</v>
      </c>
    </row>
    <row r="45" customFormat="false" ht="18.75" hidden="false" customHeight="true" outlineLevel="0" collapsed="false">
      <c r="A45" s="4" t="s">
        <v>763</v>
      </c>
      <c r="B45" s="5" t="s">
        <v>643</v>
      </c>
      <c r="C45" s="5" t="s">
        <v>644</v>
      </c>
      <c r="D45" s="5" t="s">
        <v>764</v>
      </c>
      <c r="E45" s="5" t="s">
        <v>646</v>
      </c>
      <c r="F45" s="5" t="s">
        <v>759</v>
      </c>
    </row>
    <row r="46" customFormat="false" ht="18.75" hidden="false" customHeight="true" outlineLevel="0" collapsed="false">
      <c r="A46" s="4" t="s">
        <v>763</v>
      </c>
      <c r="B46" s="5" t="s">
        <v>644</v>
      </c>
      <c r="C46" s="5" t="s">
        <v>765</v>
      </c>
      <c r="D46" s="5" t="s">
        <v>766</v>
      </c>
      <c r="E46" s="5" t="s">
        <v>646</v>
      </c>
      <c r="F46" s="5" t="s">
        <v>643</v>
      </c>
    </row>
    <row r="47" customFormat="false" ht="18.75" hidden="false" customHeight="true" outlineLevel="0" collapsed="false">
      <c r="A47" s="4" t="s">
        <v>763</v>
      </c>
      <c r="B47" s="5" t="s">
        <v>765</v>
      </c>
      <c r="C47" s="5" t="s">
        <v>692</v>
      </c>
      <c r="D47" s="5" t="s">
        <v>767</v>
      </c>
      <c r="E47" s="5" t="s">
        <v>646</v>
      </c>
      <c r="F47" s="5" t="s">
        <v>768</v>
      </c>
    </row>
    <row r="48" customFormat="false" ht="18.75" hidden="false" customHeight="true" outlineLevel="0" collapsed="false">
      <c r="A48" s="4" t="s">
        <v>763</v>
      </c>
      <c r="B48" s="5" t="s">
        <v>769</v>
      </c>
      <c r="C48" s="5" t="s">
        <v>731</v>
      </c>
      <c r="D48" s="5" t="s">
        <v>770</v>
      </c>
      <c r="E48" s="5" t="s">
        <v>646</v>
      </c>
      <c r="F48" s="5" t="s">
        <v>771</v>
      </c>
    </row>
  </sheetData>
  <autoFilter ref="A5:F48"/>
  <mergeCells count="2">
    <mergeCell ref="A1:F2"/>
    <mergeCell ref="A3:F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48"/>
    <col collapsed="false" customWidth="true" hidden="false" outlineLevel="0" max="4" min="4" style="0" width="40"/>
    <col collapsed="false" customWidth="true" hidden="false" outlineLevel="0" max="5" min="5" style="0" width="32"/>
  </cols>
  <sheetData>
    <row r="1" customFormat="false" ht="15" hidden="false" customHeight="false" outlineLevel="0" collapsed="false">
      <c r="A1" s="1" t="s">
        <v>772</v>
      </c>
      <c r="B1" s="1"/>
      <c r="C1" s="1"/>
      <c r="D1" s="1"/>
      <c r="E1" s="1"/>
    </row>
    <row r="2" customFormat="false" ht="15" hidden="false" customHeight="false" outlineLevel="0" collapsed="false">
      <c r="A2" s="1"/>
      <c r="B2" s="1"/>
      <c r="C2" s="1"/>
      <c r="D2" s="1"/>
      <c r="E2" s="1"/>
    </row>
    <row r="3" customFormat="false" ht="21.75" hidden="false" customHeight="true" outlineLevel="0" collapsed="false">
      <c r="A3" s="2" t="s">
        <v>773</v>
      </c>
      <c r="B3" s="2"/>
      <c r="C3" s="2"/>
      <c r="D3" s="2"/>
      <c r="E3" s="2"/>
    </row>
    <row r="5" customFormat="false" ht="31.5" hidden="false" customHeight="true" outlineLevel="0" collapsed="false">
      <c r="A5" s="6" t="s">
        <v>636</v>
      </c>
      <c r="B5" s="6" t="s">
        <v>774</v>
      </c>
      <c r="C5" s="6" t="s">
        <v>775</v>
      </c>
      <c r="D5" s="6" t="s">
        <v>776</v>
      </c>
      <c r="E5" s="6" t="s">
        <v>777</v>
      </c>
    </row>
    <row r="6" customFormat="false" ht="18.75" hidden="false" customHeight="true" outlineLevel="0" collapsed="false">
      <c r="A6" s="4" t="s">
        <v>778</v>
      </c>
      <c r="B6" s="5" t="s">
        <v>779</v>
      </c>
      <c r="C6" s="5" t="s">
        <v>780</v>
      </c>
      <c r="D6" s="5" t="s">
        <v>781</v>
      </c>
      <c r="E6" s="5" t="s">
        <v>782</v>
      </c>
    </row>
    <row r="7" customFormat="false" ht="33.75" hidden="false" customHeight="true" outlineLevel="0" collapsed="false">
      <c r="A7" s="9" t="s">
        <v>659</v>
      </c>
      <c r="B7" s="10" t="s">
        <v>783</v>
      </c>
      <c r="C7" s="10" t="s">
        <v>784</v>
      </c>
      <c r="D7" s="10" t="s">
        <v>785</v>
      </c>
      <c r="E7" s="10" t="s">
        <v>786</v>
      </c>
    </row>
    <row r="8" customFormat="false" ht="18.75" hidden="false" customHeight="true" outlineLevel="0" collapsed="false">
      <c r="A8" s="4" t="s">
        <v>787</v>
      </c>
      <c r="B8" s="5" t="s">
        <v>788</v>
      </c>
      <c r="C8" s="5" t="s">
        <v>789</v>
      </c>
      <c r="D8" s="5" t="s">
        <v>790</v>
      </c>
      <c r="E8" s="5" t="s">
        <v>782</v>
      </c>
    </row>
    <row r="9" customFormat="false" ht="18.75" hidden="false" customHeight="true" outlineLevel="0" collapsed="false">
      <c r="A9" s="9" t="s">
        <v>661</v>
      </c>
      <c r="B9" s="10" t="s">
        <v>791</v>
      </c>
      <c r="C9" s="10" t="s">
        <v>792</v>
      </c>
      <c r="D9" s="10" t="s">
        <v>793</v>
      </c>
      <c r="E9" s="10" t="s">
        <v>794</v>
      </c>
    </row>
    <row r="10" customFormat="false" ht="33.75" hidden="false" customHeight="true" outlineLevel="0" collapsed="false">
      <c r="A10" s="4" t="s">
        <v>795</v>
      </c>
      <c r="B10" s="5" t="s">
        <v>796</v>
      </c>
      <c r="C10" s="5" t="s">
        <v>792</v>
      </c>
      <c r="D10" s="5" t="s">
        <v>793</v>
      </c>
      <c r="E10" s="5" t="s">
        <v>797</v>
      </c>
    </row>
    <row r="11" customFormat="false" ht="48.75" hidden="false" customHeight="true" outlineLevel="0" collapsed="false">
      <c r="A11" s="9" t="s">
        <v>642</v>
      </c>
      <c r="B11" s="10" t="s">
        <v>798</v>
      </c>
      <c r="C11" s="10" t="s">
        <v>799</v>
      </c>
      <c r="D11" s="10" t="s">
        <v>800</v>
      </c>
      <c r="E11" s="10" t="s">
        <v>801</v>
      </c>
    </row>
    <row r="12" customFormat="false" ht="33.75" hidden="false" customHeight="true" outlineLevel="0" collapsed="false">
      <c r="A12" s="4" t="s">
        <v>802</v>
      </c>
      <c r="B12" s="5" t="s">
        <v>803</v>
      </c>
      <c r="C12" s="5" t="s">
        <v>804</v>
      </c>
      <c r="D12" s="5" t="s">
        <v>805</v>
      </c>
      <c r="E12" s="5" t="s">
        <v>806</v>
      </c>
    </row>
    <row r="13" customFormat="false" ht="18.75" hidden="false" customHeight="true" outlineLevel="0" collapsed="false">
      <c r="A13" s="9" t="s">
        <v>807</v>
      </c>
      <c r="B13" s="10" t="s">
        <v>808</v>
      </c>
      <c r="C13" s="10" t="s">
        <v>809</v>
      </c>
      <c r="D13" s="10" t="s">
        <v>810</v>
      </c>
      <c r="E13" s="10" t="s">
        <v>782</v>
      </c>
    </row>
    <row r="14" customFormat="false" ht="33.75" hidden="false" customHeight="true" outlineLevel="0" collapsed="false">
      <c r="A14" s="4" t="s">
        <v>811</v>
      </c>
      <c r="B14" s="5" t="s">
        <v>812</v>
      </c>
      <c r="C14" s="5" t="s">
        <v>809</v>
      </c>
      <c r="D14" s="5" t="s">
        <v>813</v>
      </c>
      <c r="E14" s="5" t="s">
        <v>814</v>
      </c>
    </row>
    <row r="15" customFormat="false" ht="18.75" hidden="false" customHeight="true" outlineLevel="0" collapsed="false">
      <c r="A15" s="9" t="s">
        <v>815</v>
      </c>
      <c r="B15" s="10" t="s">
        <v>816</v>
      </c>
      <c r="C15" s="10" t="s">
        <v>809</v>
      </c>
      <c r="D15" s="10" t="s">
        <v>643</v>
      </c>
      <c r="E15" s="10" t="s">
        <v>817</v>
      </c>
    </row>
    <row r="16" customFormat="false" ht="33.75" hidden="false" customHeight="true" outlineLevel="0" collapsed="false">
      <c r="A16" s="4" t="s">
        <v>669</v>
      </c>
      <c r="B16" s="5" t="s">
        <v>818</v>
      </c>
      <c r="C16" s="5" t="s">
        <v>819</v>
      </c>
      <c r="D16" s="5" t="s">
        <v>820</v>
      </c>
      <c r="E16" s="5" t="s">
        <v>821</v>
      </c>
    </row>
    <row r="17" customFormat="false" ht="33.75" hidden="false" customHeight="true" outlineLevel="0" collapsed="false">
      <c r="A17" s="9" t="s">
        <v>822</v>
      </c>
      <c r="B17" s="10" t="s">
        <v>823</v>
      </c>
      <c r="C17" s="10" t="s">
        <v>824</v>
      </c>
      <c r="D17" s="10" t="s">
        <v>825</v>
      </c>
      <c r="E17" s="10" t="s">
        <v>782</v>
      </c>
    </row>
    <row r="18" customFormat="false" ht="18.75" hidden="false" customHeight="true" outlineLevel="0" collapsed="false">
      <c r="A18" s="4" t="s">
        <v>826</v>
      </c>
      <c r="B18" s="5" t="s">
        <v>827</v>
      </c>
      <c r="C18" s="5" t="s">
        <v>828</v>
      </c>
      <c r="D18" s="5" t="s">
        <v>643</v>
      </c>
      <c r="E18" s="5" t="s">
        <v>782</v>
      </c>
    </row>
    <row r="19" customFormat="false" ht="18.75" hidden="false" customHeight="true" outlineLevel="0" collapsed="false">
      <c r="A19" s="9" t="s">
        <v>829</v>
      </c>
      <c r="B19" s="10" t="s">
        <v>830</v>
      </c>
      <c r="C19" s="10" t="s">
        <v>831</v>
      </c>
      <c r="D19" s="10" t="s">
        <v>832</v>
      </c>
      <c r="E19" s="10" t="s">
        <v>782</v>
      </c>
    </row>
    <row r="20" customFormat="false" ht="33.75" hidden="false" customHeight="true" outlineLevel="0" collapsed="false">
      <c r="A20" s="4" t="s">
        <v>833</v>
      </c>
      <c r="B20" s="5" t="s">
        <v>834</v>
      </c>
      <c r="C20" s="5" t="s">
        <v>835</v>
      </c>
      <c r="D20" s="5" t="s">
        <v>836</v>
      </c>
      <c r="E20" s="5" t="s">
        <v>837</v>
      </c>
    </row>
    <row r="21" customFormat="false" ht="63.75" hidden="false" customHeight="true" outlineLevel="0" collapsed="false">
      <c r="A21" s="9" t="s">
        <v>688</v>
      </c>
      <c r="B21" s="10" t="s">
        <v>838</v>
      </c>
      <c r="C21" s="10" t="s">
        <v>839</v>
      </c>
      <c r="D21" s="10" t="s">
        <v>840</v>
      </c>
      <c r="E21" s="10" t="s">
        <v>841</v>
      </c>
    </row>
    <row r="22" customFormat="false" ht="33.75" hidden="false" customHeight="true" outlineLevel="0" collapsed="false">
      <c r="A22" s="4" t="s">
        <v>842</v>
      </c>
      <c r="B22" s="5" t="s">
        <v>843</v>
      </c>
      <c r="C22" s="5" t="s">
        <v>844</v>
      </c>
      <c r="D22" s="5" t="s">
        <v>845</v>
      </c>
      <c r="E22" s="5" t="s">
        <v>846</v>
      </c>
    </row>
    <row r="23" customFormat="false" ht="18.75" hidden="false" customHeight="true" outlineLevel="0" collapsed="false">
      <c r="A23" s="9" t="s">
        <v>847</v>
      </c>
      <c r="B23" s="10" t="s">
        <v>848</v>
      </c>
      <c r="C23" s="10" t="s">
        <v>844</v>
      </c>
      <c r="D23" s="10" t="s">
        <v>849</v>
      </c>
      <c r="E23" s="10" t="s">
        <v>850</v>
      </c>
    </row>
    <row r="24" customFormat="false" ht="33.75" hidden="false" customHeight="true" outlineLevel="0" collapsed="false">
      <c r="A24" s="4" t="s">
        <v>705</v>
      </c>
      <c r="B24" s="5" t="s">
        <v>851</v>
      </c>
      <c r="C24" s="5" t="s">
        <v>852</v>
      </c>
      <c r="D24" s="5" t="s">
        <v>853</v>
      </c>
      <c r="E24" s="5" t="s">
        <v>854</v>
      </c>
    </row>
    <row r="25" customFormat="false" ht="33.75" hidden="false" customHeight="true" outlineLevel="0" collapsed="false">
      <c r="A25" s="9" t="s">
        <v>855</v>
      </c>
      <c r="B25" s="10" t="s">
        <v>856</v>
      </c>
      <c r="C25" s="10" t="s">
        <v>852</v>
      </c>
      <c r="D25" s="10" t="s">
        <v>857</v>
      </c>
      <c r="E25" s="10" t="s">
        <v>858</v>
      </c>
    </row>
    <row r="26" customFormat="false" ht="33.75" hidden="false" customHeight="true" outlineLevel="0" collapsed="false">
      <c r="A26" s="4" t="s">
        <v>753</v>
      </c>
      <c r="B26" s="5" t="s">
        <v>859</v>
      </c>
      <c r="C26" s="5" t="s">
        <v>860</v>
      </c>
      <c r="D26" s="5" t="s">
        <v>861</v>
      </c>
      <c r="E26" s="5" t="s">
        <v>862</v>
      </c>
    </row>
    <row r="27" customFormat="false" ht="33.75" hidden="false" customHeight="true" outlineLevel="0" collapsed="false">
      <c r="A27" s="9" t="s">
        <v>763</v>
      </c>
      <c r="B27" s="10" t="s">
        <v>863</v>
      </c>
      <c r="C27" s="10" t="s">
        <v>864</v>
      </c>
      <c r="D27" s="10" t="s">
        <v>865</v>
      </c>
      <c r="E27" s="10" t="s">
        <v>854</v>
      </c>
    </row>
    <row r="28" customFormat="false" ht="48.75" hidden="false" customHeight="true" outlineLevel="0" collapsed="false">
      <c r="A28" s="4" t="s">
        <v>718</v>
      </c>
      <c r="B28" s="5" t="s">
        <v>866</v>
      </c>
      <c r="C28" s="5" t="s">
        <v>867</v>
      </c>
      <c r="D28" s="5" t="s">
        <v>868</v>
      </c>
      <c r="E28" s="5" t="s">
        <v>869</v>
      </c>
    </row>
    <row r="29" customFormat="false" ht="33.75" hidden="false" customHeight="true" outlineLevel="0" collapsed="false">
      <c r="A29" s="9" t="s">
        <v>870</v>
      </c>
      <c r="B29" s="10" t="s">
        <v>871</v>
      </c>
      <c r="C29" s="10" t="s">
        <v>872</v>
      </c>
      <c r="D29" s="10" t="s">
        <v>873</v>
      </c>
      <c r="E29" s="10" t="s">
        <v>874</v>
      </c>
    </row>
    <row r="30" customFormat="false" ht="18.75" hidden="false" customHeight="true" outlineLevel="0" collapsed="false">
      <c r="A30" s="4" t="s">
        <v>875</v>
      </c>
      <c r="B30" s="5" t="s">
        <v>876</v>
      </c>
      <c r="C30" s="5" t="s">
        <v>872</v>
      </c>
      <c r="D30" s="5" t="s">
        <v>877</v>
      </c>
      <c r="E30" s="5" t="s">
        <v>782</v>
      </c>
    </row>
    <row r="31" customFormat="false" ht="18.75" hidden="false" customHeight="true" outlineLevel="0" collapsed="false">
      <c r="A31" s="9" t="s">
        <v>878</v>
      </c>
      <c r="B31" s="10" t="s">
        <v>879</v>
      </c>
      <c r="C31" s="10" t="s">
        <v>792</v>
      </c>
      <c r="D31" s="10" t="s">
        <v>880</v>
      </c>
      <c r="E31" s="10" t="s">
        <v>881</v>
      </c>
    </row>
    <row r="32" customFormat="false" ht="33.75" hidden="false" customHeight="true" outlineLevel="0" collapsed="false">
      <c r="A32" s="4" t="s">
        <v>882</v>
      </c>
      <c r="B32" s="5" t="s">
        <v>883</v>
      </c>
      <c r="C32" s="5" t="s">
        <v>884</v>
      </c>
      <c r="D32" s="5" t="s">
        <v>643</v>
      </c>
      <c r="E32" s="5" t="s">
        <v>854</v>
      </c>
    </row>
    <row r="33" customFormat="false" ht="33.75" hidden="false" customHeight="true" outlineLevel="0" collapsed="false">
      <c r="A33" s="9" t="s">
        <v>885</v>
      </c>
      <c r="B33" s="10" t="s">
        <v>886</v>
      </c>
      <c r="C33" s="10" t="s">
        <v>887</v>
      </c>
      <c r="D33" s="10" t="s">
        <v>888</v>
      </c>
      <c r="E33" s="10" t="s">
        <v>889</v>
      </c>
    </row>
    <row r="34" customFormat="false" ht="18.75" hidden="false" customHeight="true" outlineLevel="0" collapsed="false">
      <c r="A34" s="4" t="s">
        <v>890</v>
      </c>
      <c r="B34" s="5" t="s">
        <v>891</v>
      </c>
      <c r="C34" s="5" t="s">
        <v>780</v>
      </c>
      <c r="D34" s="5" t="s">
        <v>892</v>
      </c>
      <c r="E34" s="5" t="s">
        <v>782</v>
      </c>
    </row>
    <row r="35" customFormat="false" ht="18.75" hidden="false" customHeight="true" outlineLevel="0" collapsed="false">
      <c r="A35" s="9" t="s">
        <v>893</v>
      </c>
      <c r="B35" s="10" t="s">
        <v>894</v>
      </c>
      <c r="C35" s="10" t="s">
        <v>895</v>
      </c>
      <c r="D35" s="10" t="s">
        <v>643</v>
      </c>
      <c r="E35" s="10" t="s">
        <v>896</v>
      </c>
    </row>
    <row r="36" customFormat="false" ht="33.75" hidden="false" customHeight="true" outlineLevel="0" collapsed="false">
      <c r="A36" s="4" t="s">
        <v>897</v>
      </c>
      <c r="B36" s="5" t="s">
        <v>898</v>
      </c>
      <c r="C36" s="5" t="s">
        <v>780</v>
      </c>
      <c r="D36" s="5" t="s">
        <v>899</v>
      </c>
      <c r="E36" s="5" t="s">
        <v>900</v>
      </c>
    </row>
    <row r="37" customFormat="false" ht="18.75" hidden="false" customHeight="true" outlineLevel="0" collapsed="false">
      <c r="A37" s="9" t="s">
        <v>901</v>
      </c>
      <c r="B37" s="10" t="s">
        <v>902</v>
      </c>
      <c r="C37" s="10" t="s">
        <v>780</v>
      </c>
      <c r="D37" s="10" t="s">
        <v>903</v>
      </c>
      <c r="E37" s="10" t="s">
        <v>904</v>
      </c>
    </row>
    <row r="38" customFormat="false" ht="33.75" hidden="false" customHeight="true" outlineLevel="0" collapsed="false">
      <c r="A38" s="4" t="s">
        <v>905</v>
      </c>
      <c r="B38" s="5" t="s">
        <v>906</v>
      </c>
      <c r="C38" s="5" t="s">
        <v>907</v>
      </c>
      <c r="D38" s="5" t="s">
        <v>908</v>
      </c>
      <c r="E38" s="5" t="s">
        <v>854</v>
      </c>
    </row>
  </sheetData>
  <autoFilter ref="A5:E38"/>
  <mergeCells count="2">
    <mergeCell ref="A1:E2"/>
    <mergeCell ref="A3:E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4"/>
    <col collapsed="false" customWidth="true" hidden="false" outlineLevel="0" max="4" min="4" style="0" width="40"/>
    <col collapsed="false" customWidth="true" hidden="false" outlineLevel="0" max="5" min="5" style="0" width="62"/>
    <col collapsed="false" customWidth="true" hidden="false" outlineLevel="0" max="6" min="6" style="0" width="24"/>
    <col collapsed="false" customWidth="true" hidden="false" outlineLevel="0" max="7" min="7" style="0" width="14"/>
    <col collapsed="false" customWidth="true" hidden="false" outlineLevel="0" max="8" min="8" style="0" width="20"/>
    <col collapsed="false" customWidth="true" hidden="false" outlineLevel="0" max="9" min="9" style="0" width="11"/>
    <col collapsed="false" customWidth="true" hidden="false" outlineLevel="0" max="10" min="10" style="0" width="12"/>
    <col collapsed="false" customWidth="true" hidden="false" outlineLevel="0" max="11" min="11" style="0" width="30"/>
  </cols>
  <sheetData>
    <row r="1" customFormat="false" ht="15" hidden="false" customHeight="false" outlineLevel="0" collapsed="false">
      <c r="A1" s="1" t="s">
        <v>909</v>
      </c>
      <c r="B1" s="1"/>
      <c r="C1" s="1"/>
      <c r="D1" s="1"/>
      <c r="E1" s="1"/>
      <c r="F1" s="1"/>
      <c r="G1" s="1"/>
      <c r="H1" s="1"/>
      <c r="I1" s="1"/>
      <c r="J1" s="1"/>
      <c r="K1" s="1"/>
    </row>
    <row r="2" customFormat="false" ht="15" hidden="false" customHeight="false" outlineLevel="0" collapsed="false">
      <c r="A2" s="1"/>
      <c r="B2" s="1"/>
      <c r="C2" s="1"/>
      <c r="D2" s="1"/>
      <c r="E2" s="1"/>
      <c r="F2" s="1"/>
      <c r="G2" s="1"/>
      <c r="H2" s="1"/>
      <c r="I2" s="1"/>
      <c r="J2" s="1"/>
      <c r="K2" s="1"/>
    </row>
    <row r="3" customFormat="false" ht="21.75" hidden="false" customHeight="true" outlineLevel="0" collapsed="false">
      <c r="A3" s="2" t="s">
        <v>910</v>
      </c>
      <c r="B3" s="2"/>
      <c r="C3" s="2"/>
      <c r="D3" s="2"/>
      <c r="E3" s="2"/>
      <c r="F3" s="2"/>
      <c r="G3" s="2"/>
      <c r="H3" s="2"/>
      <c r="I3" s="2"/>
      <c r="J3" s="2"/>
      <c r="K3" s="2"/>
    </row>
    <row r="5" customFormat="false" ht="31.5" hidden="false" customHeight="true" outlineLevel="0" collapsed="false">
      <c r="A5" s="6" t="s">
        <v>911</v>
      </c>
      <c r="B5" s="6" t="s">
        <v>912</v>
      </c>
      <c r="C5" s="6" t="s">
        <v>913</v>
      </c>
      <c r="D5" s="6" t="s">
        <v>914</v>
      </c>
      <c r="E5" s="6" t="s">
        <v>915</v>
      </c>
      <c r="F5" s="6" t="s">
        <v>916</v>
      </c>
      <c r="G5" s="6" t="s">
        <v>917</v>
      </c>
      <c r="H5" s="6" t="s">
        <v>918</v>
      </c>
      <c r="I5" s="6" t="s">
        <v>167</v>
      </c>
      <c r="J5" s="6" t="s">
        <v>919</v>
      </c>
      <c r="K5" s="6" t="s">
        <v>920</v>
      </c>
    </row>
    <row r="6" customFormat="false" ht="63.75" hidden="false" customHeight="true" outlineLevel="0" collapsed="false">
      <c r="A6" s="4" t="s">
        <v>218</v>
      </c>
      <c r="B6" s="5" t="s">
        <v>921</v>
      </c>
      <c r="C6" s="5" t="s">
        <v>922</v>
      </c>
      <c r="D6" s="5" t="s">
        <v>923</v>
      </c>
      <c r="E6" s="5" t="s">
        <v>924</v>
      </c>
      <c r="F6" s="5" t="s">
        <v>925</v>
      </c>
      <c r="G6" s="5" t="s">
        <v>317</v>
      </c>
      <c r="H6" s="5" t="s">
        <v>926</v>
      </c>
      <c r="I6" s="5" t="s">
        <v>927</v>
      </c>
      <c r="J6" s="5"/>
      <c r="K6" s="5"/>
    </row>
    <row r="7" customFormat="false" ht="48.75" hidden="false" customHeight="true" outlineLevel="0" collapsed="false">
      <c r="A7" s="9" t="s">
        <v>226</v>
      </c>
      <c r="B7" s="10" t="s">
        <v>928</v>
      </c>
      <c r="C7" s="10" t="s">
        <v>929</v>
      </c>
      <c r="D7" s="10" t="s">
        <v>930</v>
      </c>
      <c r="E7" s="10" t="s">
        <v>931</v>
      </c>
      <c r="F7" s="10" t="s">
        <v>932</v>
      </c>
      <c r="G7" s="10" t="s">
        <v>317</v>
      </c>
      <c r="H7" s="10" t="s">
        <v>933</v>
      </c>
      <c r="I7" s="10" t="s">
        <v>927</v>
      </c>
      <c r="J7" s="10"/>
      <c r="K7" s="10"/>
    </row>
    <row r="8" customFormat="false" ht="48.75" hidden="false" customHeight="true" outlineLevel="0" collapsed="false">
      <c r="A8" s="4" t="s">
        <v>393</v>
      </c>
      <c r="B8" s="5" t="s">
        <v>934</v>
      </c>
      <c r="C8" s="5" t="s">
        <v>935</v>
      </c>
      <c r="D8" s="5" t="s">
        <v>936</v>
      </c>
      <c r="E8" s="5" t="s">
        <v>937</v>
      </c>
      <c r="F8" s="5" t="s">
        <v>938</v>
      </c>
      <c r="G8" s="5" t="s">
        <v>207</v>
      </c>
      <c r="H8" s="5" t="s">
        <v>939</v>
      </c>
      <c r="I8" s="5" t="s">
        <v>927</v>
      </c>
      <c r="J8" s="5"/>
      <c r="K8" s="5"/>
    </row>
    <row r="9" customFormat="false" ht="48.75" hidden="false" customHeight="true" outlineLevel="0" collapsed="false">
      <c r="A9" s="9" t="s">
        <v>261</v>
      </c>
      <c r="B9" s="10" t="s">
        <v>940</v>
      </c>
      <c r="C9" s="10" t="s">
        <v>941</v>
      </c>
      <c r="D9" s="10" t="s">
        <v>942</v>
      </c>
      <c r="E9" s="10" t="s">
        <v>943</v>
      </c>
      <c r="F9" s="10" t="s">
        <v>944</v>
      </c>
      <c r="G9" s="10" t="s">
        <v>234</v>
      </c>
      <c r="H9" s="10" t="s">
        <v>945</v>
      </c>
      <c r="I9" s="10" t="s">
        <v>927</v>
      </c>
      <c r="J9" s="10"/>
      <c r="K9" s="10"/>
    </row>
    <row r="10" customFormat="false" ht="63.75" hidden="false" customHeight="true" outlineLevel="0" collapsed="false">
      <c r="A10" s="4" t="s">
        <v>411</v>
      </c>
      <c r="B10" s="5" t="s">
        <v>946</v>
      </c>
      <c r="C10" s="5" t="s">
        <v>947</v>
      </c>
      <c r="D10" s="5" t="s">
        <v>948</v>
      </c>
      <c r="E10" s="5" t="s">
        <v>949</v>
      </c>
      <c r="F10" s="5" t="s">
        <v>950</v>
      </c>
      <c r="G10" s="5" t="s">
        <v>402</v>
      </c>
      <c r="H10" s="5" t="s">
        <v>951</v>
      </c>
      <c r="I10" s="5" t="s">
        <v>927</v>
      </c>
      <c r="J10" s="5"/>
      <c r="K10" s="5"/>
    </row>
    <row r="11" customFormat="false" ht="63.75" hidden="false" customHeight="true" outlineLevel="0" collapsed="false">
      <c r="A11" s="9" t="s">
        <v>385</v>
      </c>
      <c r="B11" s="10" t="s">
        <v>952</v>
      </c>
      <c r="C11" s="10" t="s">
        <v>953</v>
      </c>
      <c r="D11" s="10" t="s">
        <v>954</v>
      </c>
      <c r="E11" s="10" t="s">
        <v>955</v>
      </c>
      <c r="F11" s="10" t="s">
        <v>956</v>
      </c>
      <c r="G11" s="10" t="s">
        <v>317</v>
      </c>
      <c r="H11" s="10" t="s">
        <v>957</v>
      </c>
      <c r="I11" s="10" t="s">
        <v>927</v>
      </c>
      <c r="J11" s="10"/>
      <c r="K11" s="10"/>
    </row>
    <row r="12" customFormat="false" ht="33.75" hidden="false" customHeight="true" outlineLevel="0" collapsed="false">
      <c r="A12" s="4" t="s">
        <v>426</v>
      </c>
      <c r="B12" s="5" t="s">
        <v>958</v>
      </c>
      <c r="C12" s="5" t="s">
        <v>959</v>
      </c>
      <c r="D12" s="5" t="s">
        <v>960</v>
      </c>
      <c r="E12" s="5" t="s">
        <v>961</v>
      </c>
      <c r="F12" s="5" t="s">
        <v>420</v>
      </c>
      <c r="G12" s="5" t="s">
        <v>643</v>
      </c>
      <c r="H12" s="5" t="s">
        <v>945</v>
      </c>
      <c r="I12" s="5" t="s">
        <v>927</v>
      </c>
      <c r="J12" s="5"/>
      <c r="K12" s="5"/>
    </row>
    <row r="13" customFormat="false" ht="48.75" hidden="false" customHeight="true" outlineLevel="0" collapsed="false">
      <c r="A13" s="9" t="s">
        <v>461</v>
      </c>
      <c r="B13" s="10" t="s">
        <v>962</v>
      </c>
      <c r="C13" s="10" t="s">
        <v>963</v>
      </c>
      <c r="D13" s="10" t="s">
        <v>964</v>
      </c>
      <c r="E13" s="10" t="s">
        <v>965</v>
      </c>
      <c r="F13" s="10" t="s">
        <v>966</v>
      </c>
      <c r="G13" s="10" t="s">
        <v>402</v>
      </c>
      <c r="H13" s="10" t="s">
        <v>967</v>
      </c>
      <c r="I13" s="10" t="s">
        <v>927</v>
      </c>
      <c r="J13" s="10"/>
      <c r="K13" s="10"/>
    </row>
    <row r="14" customFormat="false" ht="33.75" hidden="false" customHeight="true" outlineLevel="0" collapsed="false">
      <c r="A14" s="4" t="s">
        <v>525</v>
      </c>
      <c r="B14" s="5" t="s">
        <v>968</v>
      </c>
      <c r="C14" s="5" t="s">
        <v>969</v>
      </c>
      <c r="D14" s="5" t="s">
        <v>970</v>
      </c>
      <c r="E14" s="5" t="s">
        <v>971</v>
      </c>
      <c r="F14" s="5" t="s">
        <v>972</v>
      </c>
      <c r="G14" s="5" t="s">
        <v>207</v>
      </c>
      <c r="H14" s="5" t="s">
        <v>967</v>
      </c>
      <c r="I14" s="5" t="s">
        <v>927</v>
      </c>
      <c r="J14" s="5"/>
      <c r="K14" s="5"/>
    </row>
    <row r="15" customFormat="false" ht="63.75" hidden="false" customHeight="true" outlineLevel="0" collapsed="false">
      <c r="A15" s="9" t="s">
        <v>622</v>
      </c>
      <c r="B15" s="10" t="s">
        <v>973</v>
      </c>
      <c r="C15" s="10" t="s">
        <v>974</v>
      </c>
      <c r="D15" s="10" t="s">
        <v>975</v>
      </c>
      <c r="E15" s="10" t="s">
        <v>976</v>
      </c>
      <c r="F15" s="10" t="s">
        <v>977</v>
      </c>
      <c r="G15" s="10" t="s">
        <v>978</v>
      </c>
      <c r="H15" s="10" t="s">
        <v>979</v>
      </c>
      <c r="I15" s="10" t="s">
        <v>927</v>
      </c>
      <c r="J15" s="10"/>
      <c r="K15" s="10"/>
    </row>
    <row r="16" customFormat="false" ht="63.75" hidden="false" customHeight="true" outlineLevel="0" collapsed="false">
      <c r="A16" s="4" t="s">
        <v>980</v>
      </c>
      <c r="B16" s="5" t="s">
        <v>981</v>
      </c>
      <c r="C16" s="5" t="s">
        <v>982</v>
      </c>
      <c r="D16" s="5" t="s">
        <v>983</v>
      </c>
      <c r="E16" s="5" t="s">
        <v>984</v>
      </c>
      <c r="F16" s="5" t="s">
        <v>985</v>
      </c>
      <c r="G16" s="5" t="s">
        <v>207</v>
      </c>
      <c r="H16" s="5" t="s">
        <v>986</v>
      </c>
      <c r="I16" s="5" t="s">
        <v>927</v>
      </c>
      <c r="J16" s="5"/>
      <c r="K16" s="5"/>
    </row>
    <row r="17" customFormat="false" ht="33.75" hidden="false" customHeight="true" outlineLevel="0" collapsed="false">
      <c r="A17" s="9" t="s">
        <v>246</v>
      </c>
      <c r="B17" s="10" t="s">
        <v>987</v>
      </c>
      <c r="C17" s="10" t="s">
        <v>988</v>
      </c>
      <c r="D17" s="10" t="s">
        <v>989</v>
      </c>
      <c r="E17" s="10" t="s">
        <v>990</v>
      </c>
      <c r="F17" s="10" t="s">
        <v>991</v>
      </c>
      <c r="G17" s="10" t="s">
        <v>234</v>
      </c>
      <c r="H17" s="10" t="s">
        <v>945</v>
      </c>
      <c r="I17" s="10" t="s">
        <v>927</v>
      </c>
      <c r="J17" s="10"/>
      <c r="K17" s="10"/>
    </row>
    <row r="18" customFormat="false" ht="33.75" hidden="false" customHeight="true" outlineLevel="0" collapsed="false">
      <c r="A18" s="4" t="s">
        <v>548</v>
      </c>
      <c r="B18" s="5" t="s">
        <v>992</v>
      </c>
      <c r="C18" s="5" t="s">
        <v>993</v>
      </c>
      <c r="D18" s="5" t="s">
        <v>994</v>
      </c>
      <c r="E18" s="5" t="s">
        <v>995</v>
      </c>
      <c r="F18" s="5" t="s">
        <v>541</v>
      </c>
      <c r="G18" s="5" t="s">
        <v>207</v>
      </c>
      <c r="H18" s="5" t="s">
        <v>945</v>
      </c>
      <c r="I18" s="5" t="s">
        <v>927</v>
      </c>
      <c r="J18" s="5"/>
      <c r="K18" s="5"/>
    </row>
    <row r="19" customFormat="false" ht="33.75" hidden="false" customHeight="true" outlineLevel="0" collapsed="false">
      <c r="A19" s="9" t="s">
        <v>996</v>
      </c>
      <c r="B19" s="10" t="s">
        <v>997</v>
      </c>
      <c r="C19" s="10" t="s">
        <v>998</v>
      </c>
      <c r="D19" s="10" t="s">
        <v>999</v>
      </c>
      <c r="E19" s="10" t="s">
        <v>1000</v>
      </c>
      <c r="F19" s="10" t="s">
        <v>1001</v>
      </c>
      <c r="G19" s="10" t="s">
        <v>182</v>
      </c>
      <c r="H19" s="10" t="s">
        <v>1002</v>
      </c>
      <c r="I19" s="10" t="s">
        <v>927</v>
      </c>
      <c r="J19" s="10"/>
      <c r="K19" s="10"/>
    </row>
    <row r="20" customFormat="false" ht="33.75" hidden="false" customHeight="true" outlineLevel="0" collapsed="false">
      <c r="A20" s="4" t="s">
        <v>419</v>
      </c>
      <c r="B20" s="5" t="s">
        <v>1003</v>
      </c>
      <c r="C20" s="5" t="s">
        <v>1004</v>
      </c>
      <c r="D20" s="5" t="s">
        <v>1005</v>
      </c>
      <c r="E20" s="5" t="s">
        <v>1006</v>
      </c>
      <c r="F20" s="5" t="s">
        <v>1007</v>
      </c>
      <c r="G20" s="5" t="s">
        <v>402</v>
      </c>
      <c r="H20" s="5" t="s">
        <v>951</v>
      </c>
      <c r="I20" s="5" t="s">
        <v>927</v>
      </c>
      <c r="J20" s="5"/>
      <c r="K20" s="5"/>
    </row>
  </sheetData>
  <autoFilter ref="A5:K20"/>
  <mergeCells count="2">
    <mergeCell ref="A1:K2"/>
    <mergeCell ref="A3:K3"/>
  </mergeCells>
  <dataValidations count="1">
    <dataValidation allowBlank="true" errorStyle="stop" operator="between" showDropDown="false" showErrorMessage="false" showInputMessage="false" sqref="I6:I20" type="list">
      <formula1>"Ouverte,En discussion,Validée,Rejetée"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5" topLeftCell="C16" activePane="bottomRight" state="frozen"/>
      <selection pane="topLeft" activeCell="A1" activeCellId="0" sqref="A1"/>
      <selection pane="topRight" activeCell="C1" activeCellId="0" sqref="C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32"/>
    <col collapsed="false" customWidth="true" hidden="false" outlineLevel="0" max="4" min="4" style="0" width="42"/>
    <col collapsed="false" customWidth="true" hidden="false" outlineLevel="0" max="5" min="5" style="0" width="38"/>
    <col collapsed="false" customWidth="true" hidden="false" outlineLevel="0" max="6" min="6" style="0" width="42"/>
    <col collapsed="false" customWidth="true" hidden="false" outlineLevel="0" max="7" min="7" style="0" width="34"/>
    <col collapsed="false" customWidth="true" hidden="false" outlineLevel="0" max="8" min="8" style="0" width="9"/>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4"/>
  </cols>
  <sheetData>
    <row r="1" customFormat="false" ht="15" hidden="false" customHeight="false" outlineLevel="0" collapsed="false">
      <c r="A1" s="1" t="s">
        <v>1008</v>
      </c>
      <c r="B1" s="1"/>
      <c r="C1" s="1"/>
      <c r="D1" s="1"/>
      <c r="E1" s="1"/>
      <c r="F1" s="1"/>
      <c r="G1" s="1"/>
      <c r="H1" s="1"/>
      <c r="I1" s="1"/>
      <c r="J1" s="1"/>
      <c r="K1" s="1"/>
      <c r="L1" s="1"/>
    </row>
    <row r="2" customFormat="false" ht="15" hidden="false" customHeight="false" outlineLevel="0" collapsed="false">
      <c r="A2" s="1"/>
      <c r="B2" s="1"/>
      <c r="C2" s="1"/>
      <c r="D2" s="1"/>
      <c r="E2" s="1"/>
      <c r="F2" s="1"/>
      <c r="G2" s="1"/>
      <c r="H2" s="1"/>
      <c r="I2" s="1"/>
      <c r="J2" s="1"/>
      <c r="K2" s="1"/>
      <c r="L2" s="1"/>
    </row>
    <row r="3" customFormat="false" ht="21.75" hidden="false" customHeight="true" outlineLevel="0" collapsed="false">
      <c r="A3" s="2" t="s">
        <v>1009</v>
      </c>
      <c r="B3" s="2"/>
      <c r="C3" s="2"/>
      <c r="D3" s="2"/>
      <c r="E3" s="2"/>
      <c r="F3" s="2"/>
      <c r="G3" s="2"/>
      <c r="H3" s="2"/>
      <c r="I3" s="2"/>
      <c r="J3" s="2"/>
      <c r="K3" s="2"/>
      <c r="L3" s="2"/>
    </row>
    <row r="5" customFormat="false" ht="21.75" hidden="false" customHeight="true" outlineLevel="0" collapsed="false">
      <c r="A5" s="3" t="s">
        <v>1010</v>
      </c>
      <c r="B5" s="3"/>
      <c r="C5" s="3"/>
      <c r="D5" s="3"/>
      <c r="E5" s="3"/>
      <c r="F5" s="3"/>
      <c r="G5" s="3"/>
      <c r="H5" s="3"/>
      <c r="I5" s="3"/>
      <c r="J5" s="3"/>
      <c r="K5" s="3"/>
      <c r="L5" s="3"/>
    </row>
    <row r="6" customFormat="false" ht="36" hidden="false" customHeight="true" outlineLevel="0" collapsed="false">
      <c r="A6" s="4" t="s">
        <v>1011</v>
      </c>
      <c r="B6" s="4"/>
      <c r="C6" s="5" t="s">
        <v>1012</v>
      </c>
      <c r="D6" s="5"/>
      <c r="E6" s="5"/>
      <c r="F6" s="5"/>
      <c r="G6" s="5"/>
      <c r="H6" s="5"/>
      <c r="I6" s="5"/>
      <c r="J6" s="5"/>
      <c r="K6" s="5"/>
      <c r="L6" s="5"/>
    </row>
    <row r="7" customFormat="false" ht="36" hidden="false" customHeight="true" outlineLevel="0" collapsed="false">
      <c r="A7" s="4" t="s">
        <v>1013</v>
      </c>
      <c r="B7" s="4"/>
      <c r="C7" s="5" t="s">
        <v>1014</v>
      </c>
      <c r="D7" s="5"/>
      <c r="E7" s="5"/>
      <c r="F7" s="5"/>
      <c r="G7" s="5"/>
      <c r="H7" s="5"/>
      <c r="I7" s="5"/>
      <c r="J7" s="5"/>
      <c r="K7" s="5"/>
      <c r="L7" s="5"/>
    </row>
    <row r="8" customFormat="false" ht="36" hidden="false" customHeight="true" outlineLevel="0" collapsed="false">
      <c r="A8" s="4" t="s">
        <v>1015</v>
      </c>
      <c r="B8" s="4"/>
      <c r="C8" s="5" t="s">
        <v>1016</v>
      </c>
      <c r="D8" s="5"/>
      <c r="E8" s="5"/>
      <c r="F8" s="5"/>
      <c r="G8" s="5"/>
      <c r="H8" s="5"/>
      <c r="I8" s="5"/>
      <c r="J8" s="5"/>
      <c r="K8" s="5"/>
      <c r="L8" s="5"/>
    </row>
    <row r="9" customFormat="false" ht="21" hidden="false" customHeight="true" outlineLevel="0" collapsed="false">
      <c r="A9" s="4" t="s">
        <v>1017</v>
      </c>
      <c r="B9" s="4"/>
      <c r="C9" s="5" t="s">
        <v>1018</v>
      </c>
      <c r="D9" s="5"/>
      <c r="E9" s="5"/>
      <c r="F9" s="5"/>
      <c r="G9" s="5"/>
      <c r="H9" s="5"/>
      <c r="I9" s="5"/>
      <c r="J9" s="5"/>
      <c r="K9" s="5"/>
      <c r="L9" s="5"/>
    </row>
    <row r="10" customFormat="false" ht="21" hidden="false" customHeight="true" outlineLevel="0" collapsed="false">
      <c r="A10" s="4" t="s">
        <v>1019</v>
      </c>
      <c r="B10" s="4"/>
      <c r="C10" s="5" t="s">
        <v>1020</v>
      </c>
      <c r="D10" s="5"/>
      <c r="E10" s="5"/>
      <c r="F10" s="5"/>
      <c r="G10" s="5"/>
      <c r="H10" s="5"/>
      <c r="I10" s="5"/>
      <c r="J10" s="5"/>
      <c r="K10" s="5"/>
      <c r="L10" s="5"/>
    </row>
    <row r="11" customFormat="false" ht="21" hidden="false" customHeight="true" outlineLevel="0" collapsed="false">
      <c r="A11" s="4" t="s">
        <v>1021</v>
      </c>
      <c r="B11" s="4"/>
      <c r="C11" s="5" t="s">
        <v>1022</v>
      </c>
      <c r="D11" s="5"/>
      <c r="E11" s="5"/>
      <c r="F11" s="5"/>
      <c r="G11" s="5"/>
      <c r="H11" s="5"/>
      <c r="I11" s="5"/>
      <c r="J11" s="5"/>
      <c r="K11" s="5"/>
      <c r="L11" s="5"/>
    </row>
    <row r="12" customFormat="false" ht="21" hidden="false" customHeight="true" outlineLevel="0" collapsed="false">
      <c r="A12" s="4" t="s">
        <v>1023</v>
      </c>
      <c r="B12" s="4"/>
      <c r="C12" s="5" t="s">
        <v>1024</v>
      </c>
      <c r="D12" s="5"/>
      <c r="E12" s="5"/>
      <c r="F12" s="5"/>
      <c r="G12" s="5"/>
      <c r="H12" s="5"/>
      <c r="I12" s="5"/>
      <c r="J12" s="5"/>
      <c r="K12" s="5"/>
      <c r="L12" s="5"/>
    </row>
    <row r="14" customFormat="false" ht="21.75" hidden="false" customHeight="true" outlineLevel="0" collapsed="false">
      <c r="A14" s="3" t="s">
        <v>1025</v>
      </c>
      <c r="B14" s="3"/>
      <c r="C14" s="3"/>
      <c r="D14" s="3"/>
      <c r="E14" s="3"/>
      <c r="F14" s="3"/>
      <c r="G14" s="3"/>
      <c r="H14" s="3"/>
      <c r="I14" s="3"/>
      <c r="J14" s="3"/>
      <c r="K14" s="3"/>
      <c r="L14" s="3"/>
    </row>
    <row r="15" customFormat="false" ht="31.5" hidden="false" customHeight="true" outlineLevel="0" collapsed="false">
      <c r="A15" s="6" t="s">
        <v>911</v>
      </c>
      <c r="B15" s="6" t="s">
        <v>1026</v>
      </c>
      <c r="C15" s="6" t="s">
        <v>1027</v>
      </c>
      <c r="D15" s="6" t="s">
        <v>1028</v>
      </c>
      <c r="E15" s="6" t="s">
        <v>1029</v>
      </c>
      <c r="F15" s="6" t="s">
        <v>1030</v>
      </c>
      <c r="G15" s="6" t="s">
        <v>1031</v>
      </c>
      <c r="H15" s="6" t="s">
        <v>165</v>
      </c>
      <c r="I15" s="6" t="s">
        <v>1032</v>
      </c>
      <c r="J15" s="6" t="s">
        <v>1033</v>
      </c>
      <c r="K15" s="6" t="s">
        <v>167</v>
      </c>
      <c r="L15" s="6" t="s">
        <v>168</v>
      </c>
    </row>
    <row r="16" customFormat="false" ht="63.75" hidden="false" customHeight="true" outlineLevel="0" collapsed="false">
      <c r="A16" s="9" t="s">
        <v>1034</v>
      </c>
      <c r="B16" s="10" t="s">
        <v>1035</v>
      </c>
      <c r="C16" s="10" t="s">
        <v>1036</v>
      </c>
      <c r="D16" s="10" t="s">
        <v>1037</v>
      </c>
      <c r="E16" s="10" t="s">
        <v>1038</v>
      </c>
      <c r="F16" s="10" t="s">
        <v>1039</v>
      </c>
      <c r="G16" s="10" t="s">
        <v>1040</v>
      </c>
      <c r="H16" s="11" t="s">
        <v>31</v>
      </c>
      <c r="I16" s="11" t="s">
        <v>182</v>
      </c>
      <c r="J16" s="10" t="s">
        <v>1001</v>
      </c>
      <c r="K16" s="11" t="s">
        <v>183</v>
      </c>
      <c r="L16" s="10"/>
    </row>
    <row r="17" customFormat="false" ht="48.75" hidden="false" customHeight="true" outlineLevel="0" collapsed="false">
      <c r="A17" s="9" t="s">
        <v>1041</v>
      </c>
      <c r="B17" s="10" t="s">
        <v>1035</v>
      </c>
      <c r="C17" s="10" t="s">
        <v>1042</v>
      </c>
      <c r="D17" s="10" t="s">
        <v>1043</v>
      </c>
      <c r="E17" s="10" t="s">
        <v>1044</v>
      </c>
      <c r="F17" s="10" t="s">
        <v>1045</v>
      </c>
      <c r="G17" s="10" t="s">
        <v>1046</v>
      </c>
      <c r="H17" s="11" t="s">
        <v>31</v>
      </c>
      <c r="I17" s="11" t="s">
        <v>182</v>
      </c>
      <c r="J17" s="10" t="s">
        <v>1047</v>
      </c>
      <c r="K17" s="11" t="s">
        <v>183</v>
      </c>
      <c r="L17" s="10"/>
    </row>
    <row r="18" customFormat="false" ht="63.75" hidden="false" customHeight="true" outlineLevel="0" collapsed="false">
      <c r="A18" s="9" t="s">
        <v>1048</v>
      </c>
      <c r="B18" s="10" t="s">
        <v>1035</v>
      </c>
      <c r="C18" s="10" t="s">
        <v>1049</v>
      </c>
      <c r="D18" s="10" t="s">
        <v>1050</v>
      </c>
      <c r="E18" s="10" t="s">
        <v>1051</v>
      </c>
      <c r="F18" s="10" t="s">
        <v>1052</v>
      </c>
      <c r="G18" s="10" t="s">
        <v>1053</v>
      </c>
      <c r="H18" s="11" t="s">
        <v>31</v>
      </c>
      <c r="I18" s="11" t="s">
        <v>182</v>
      </c>
      <c r="J18" s="10" t="s">
        <v>1054</v>
      </c>
      <c r="K18" s="11" t="s">
        <v>183</v>
      </c>
      <c r="L18" s="10"/>
    </row>
    <row r="19" customFormat="false" ht="48.75" hidden="false" customHeight="true" outlineLevel="0" collapsed="false">
      <c r="A19" s="9" t="s">
        <v>1055</v>
      </c>
      <c r="B19" s="10" t="s">
        <v>1035</v>
      </c>
      <c r="C19" s="10" t="s">
        <v>1056</v>
      </c>
      <c r="D19" s="10" t="s">
        <v>1057</v>
      </c>
      <c r="E19" s="10" t="s">
        <v>1058</v>
      </c>
      <c r="F19" s="10" t="s">
        <v>1059</v>
      </c>
      <c r="G19" s="10" t="s">
        <v>1060</v>
      </c>
      <c r="H19" s="11" t="s">
        <v>31</v>
      </c>
      <c r="I19" s="11" t="s">
        <v>182</v>
      </c>
      <c r="J19" s="10" t="s">
        <v>1061</v>
      </c>
      <c r="K19" s="11" t="s">
        <v>183</v>
      </c>
      <c r="L19" s="10"/>
    </row>
    <row r="20" customFormat="false" ht="63.75" hidden="false" customHeight="true" outlineLevel="0" collapsed="false">
      <c r="A20" s="9" t="s">
        <v>1062</v>
      </c>
      <c r="B20" s="10" t="s">
        <v>1035</v>
      </c>
      <c r="C20" s="10" t="s">
        <v>1063</v>
      </c>
      <c r="D20" s="10" t="s">
        <v>1064</v>
      </c>
      <c r="E20" s="10" t="s">
        <v>1065</v>
      </c>
      <c r="F20" s="10" t="s">
        <v>1066</v>
      </c>
      <c r="G20" s="10" t="s">
        <v>1067</v>
      </c>
      <c r="H20" s="11" t="s">
        <v>31</v>
      </c>
      <c r="I20" s="11" t="s">
        <v>317</v>
      </c>
      <c r="J20" s="10" t="s">
        <v>1068</v>
      </c>
      <c r="K20" s="11" t="s">
        <v>183</v>
      </c>
      <c r="L20" s="10"/>
    </row>
    <row r="21" customFormat="false" ht="63.75" hidden="false" customHeight="true" outlineLevel="0" collapsed="false">
      <c r="A21" s="9" t="s">
        <v>1069</v>
      </c>
      <c r="B21" s="10" t="s">
        <v>1035</v>
      </c>
      <c r="C21" s="10" t="s">
        <v>1070</v>
      </c>
      <c r="D21" s="10" t="s">
        <v>1071</v>
      </c>
      <c r="E21" s="10" t="s">
        <v>1072</v>
      </c>
      <c r="F21" s="10" t="s">
        <v>1073</v>
      </c>
      <c r="G21" s="10" t="s">
        <v>1074</v>
      </c>
      <c r="H21" s="11" t="s">
        <v>31</v>
      </c>
      <c r="I21" s="11" t="s">
        <v>182</v>
      </c>
      <c r="J21" s="10" t="s">
        <v>1075</v>
      </c>
      <c r="K21" s="11" t="s">
        <v>183</v>
      </c>
      <c r="L21" s="10"/>
    </row>
    <row r="22" customFormat="false" ht="48.75" hidden="false" customHeight="true" outlineLevel="0" collapsed="false">
      <c r="A22" s="9" t="s">
        <v>1076</v>
      </c>
      <c r="B22" s="10" t="s">
        <v>1035</v>
      </c>
      <c r="C22" s="10" t="s">
        <v>1077</v>
      </c>
      <c r="D22" s="10" t="s">
        <v>1078</v>
      </c>
      <c r="E22" s="10" t="s">
        <v>1079</v>
      </c>
      <c r="F22" s="10" t="s">
        <v>1080</v>
      </c>
      <c r="G22" s="10" t="s">
        <v>1081</v>
      </c>
      <c r="H22" s="11" t="s">
        <v>31</v>
      </c>
      <c r="I22" s="11" t="s">
        <v>182</v>
      </c>
      <c r="J22" s="10" t="s">
        <v>643</v>
      </c>
      <c r="K22" s="11" t="s">
        <v>183</v>
      </c>
      <c r="L22" s="10"/>
    </row>
    <row r="23" customFormat="false" ht="48.75" hidden="false" customHeight="true" outlineLevel="0" collapsed="false">
      <c r="A23" s="9" t="s">
        <v>1082</v>
      </c>
      <c r="B23" s="10" t="s">
        <v>1035</v>
      </c>
      <c r="C23" s="10" t="s">
        <v>1083</v>
      </c>
      <c r="D23" s="10" t="s">
        <v>1084</v>
      </c>
      <c r="E23" s="10" t="s">
        <v>1085</v>
      </c>
      <c r="F23" s="10" t="s">
        <v>1086</v>
      </c>
      <c r="G23" s="10" t="s">
        <v>1087</v>
      </c>
      <c r="H23" s="11" t="s">
        <v>31</v>
      </c>
      <c r="I23" s="11" t="s">
        <v>234</v>
      </c>
      <c r="J23" s="10" t="s">
        <v>1088</v>
      </c>
      <c r="K23" s="11" t="s">
        <v>183</v>
      </c>
      <c r="L23" s="10"/>
    </row>
    <row r="24" customFormat="false" ht="63.75" hidden="false" customHeight="true" outlineLevel="0" collapsed="false">
      <c r="A24" s="4" t="s">
        <v>1089</v>
      </c>
      <c r="B24" s="5" t="s">
        <v>1090</v>
      </c>
      <c r="C24" s="5" t="s">
        <v>1091</v>
      </c>
      <c r="D24" s="5" t="s">
        <v>1092</v>
      </c>
      <c r="E24" s="5" t="s">
        <v>643</v>
      </c>
      <c r="F24" s="5" t="s">
        <v>1093</v>
      </c>
      <c r="G24" s="5" t="s">
        <v>1094</v>
      </c>
      <c r="H24" s="7" t="s">
        <v>31</v>
      </c>
      <c r="I24" s="7" t="s">
        <v>317</v>
      </c>
      <c r="J24" s="5" t="s">
        <v>1095</v>
      </c>
      <c r="K24" s="7" t="s">
        <v>183</v>
      </c>
      <c r="L24" s="5"/>
    </row>
    <row r="25" customFormat="false" ht="48.75" hidden="false" customHeight="true" outlineLevel="0" collapsed="false">
      <c r="A25" s="4" t="s">
        <v>1096</v>
      </c>
      <c r="B25" s="5" t="s">
        <v>1090</v>
      </c>
      <c r="C25" s="5" t="s">
        <v>1097</v>
      </c>
      <c r="D25" s="5" t="s">
        <v>1098</v>
      </c>
      <c r="E25" s="5" t="s">
        <v>1099</v>
      </c>
      <c r="F25" s="5" t="s">
        <v>1100</v>
      </c>
      <c r="G25" s="5" t="s">
        <v>1101</v>
      </c>
      <c r="H25" s="7" t="s">
        <v>31</v>
      </c>
      <c r="I25" s="7" t="s">
        <v>402</v>
      </c>
      <c r="J25" s="5" t="s">
        <v>442</v>
      </c>
      <c r="K25" s="7" t="s">
        <v>183</v>
      </c>
      <c r="L25" s="5"/>
    </row>
    <row r="26" customFormat="false" ht="48.75" hidden="false" customHeight="true" outlineLevel="0" collapsed="false">
      <c r="A26" s="4" t="s">
        <v>1102</v>
      </c>
      <c r="B26" s="5" t="s">
        <v>1090</v>
      </c>
      <c r="C26" s="5" t="s">
        <v>1103</v>
      </c>
      <c r="D26" s="5" t="s">
        <v>1104</v>
      </c>
      <c r="E26" s="5" t="s">
        <v>643</v>
      </c>
      <c r="F26" s="5" t="s">
        <v>1105</v>
      </c>
      <c r="G26" s="5" t="s">
        <v>1106</v>
      </c>
      <c r="H26" s="7" t="s">
        <v>31</v>
      </c>
      <c r="I26" s="7" t="s">
        <v>317</v>
      </c>
      <c r="J26" s="5" t="s">
        <v>1107</v>
      </c>
      <c r="K26" s="7" t="s">
        <v>183</v>
      </c>
      <c r="L26" s="5"/>
    </row>
    <row r="27" customFormat="false" ht="48.75" hidden="false" customHeight="true" outlineLevel="0" collapsed="false">
      <c r="A27" s="4" t="s">
        <v>1108</v>
      </c>
      <c r="B27" s="5" t="s">
        <v>1090</v>
      </c>
      <c r="C27" s="5" t="s">
        <v>1109</v>
      </c>
      <c r="D27" s="5" t="s">
        <v>1110</v>
      </c>
      <c r="E27" s="5" t="s">
        <v>1111</v>
      </c>
      <c r="F27" s="5" t="s">
        <v>1112</v>
      </c>
      <c r="G27" s="5" t="s">
        <v>1113</v>
      </c>
      <c r="H27" s="7" t="s">
        <v>31</v>
      </c>
      <c r="I27" s="7" t="s">
        <v>317</v>
      </c>
      <c r="J27" s="5" t="s">
        <v>1114</v>
      </c>
      <c r="K27" s="7" t="s">
        <v>183</v>
      </c>
      <c r="L27" s="5"/>
    </row>
    <row r="28" customFormat="false" ht="48.75" hidden="false" customHeight="true" outlineLevel="0" collapsed="false">
      <c r="A28" s="4" t="s">
        <v>1115</v>
      </c>
      <c r="B28" s="5" t="s">
        <v>1090</v>
      </c>
      <c r="C28" s="5" t="s">
        <v>1116</v>
      </c>
      <c r="D28" s="5" t="s">
        <v>1117</v>
      </c>
      <c r="E28" s="5" t="s">
        <v>1118</v>
      </c>
      <c r="F28" s="5" t="s">
        <v>1119</v>
      </c>
      <c r="G28" s="5" t="s">
        <v>1120</v>
      </c>
      <c r="H28" s="7" t="s">
        <v>31</v>
      </c>
      <c r="I28" s="7" t="s">
        <v>317</v>
      </c>
      <c r="J28" s="5" t="s">
        <v>1121</v>
      </c>
      <c r="K28" s="7" t="s">
        <v>183</v>
      </c>
      <c r="L28" s="5"/>
    </row>
    <row r="29" customFormat="false" ht="63.75" hidden="false" customHeight="true" outlineLevel="0" collapsed="false">
      <c r="A29" s="4" t="s">
        <v>1122</v>
      </c>
      <c r="B29" s="5" t="s">
        <v>1090</v>
      </c>
      <c r="C29" s="5" t="s">
        <v>1123</v>
      </c>
      <c r="D29" s="5" t="s">
        <v>1124</v>
      </c>
      <c r="E29" s="5" t="s">
        <v>1125</v>
      </c>
      <c r="F29" s="5" t="s">
        <v>1126</v>
      </c>
      <c r="G29" s="5" t="s">
        <v>1127</v>
      </c>
      <c r="H29" s="7" t="s">
        <v>31</v>
      </c>
      <c r="I29" s="7" t="s">
        <v>182</v>
      </c>
      <c r="J29" s="5" t="s">
        <v>1128</v>
      </c>
      <c r="K29" s="7" t="s">
        <v>183</v>
      </c>
      <c r="L29" s="5"/>
    </row>
    <row r="30" customFormat="false" ht="78.75" hidden="false" customHeight="true" outlineLevel="0" collapsed="false">
      <c r="A30" s="9" t="s">
        <v>1129</v>
      </c>
      <c r="B30" s="10" t="s">
        <v>1130</v>
      </c>
      <c r="C30" s="10" t="s">
        <v>1131</v>
      </c>
      <c r="D30" s="10" t="s">
        <v>1132</v>
      </c>
      <c r="E30" s="10" t="s">
        <v>1133</v>
      </c>
      <c r="F30" s="10" t="s">
        <v>1134</v>
      </c>
      <c r="G30" s="10" t="s">
        <v>1135</v>
      </c>
      <c r="H30" s="11" t="s">
        <v>31</v>
      </c>
      <c r="I30" s="11" t="s">
        <v>234</v>
      </c>
      <c r="J30" s="10" t="s">
        <v>1136</v>
      </c>
      <c r="K30" s="11" t="s">
        <v>183</v>
      </c>
      <c r="L30" s="10"/>
    </row>
    <row r="31" customFormat="false" ht="48.75" hidden="false" customHeight="true" outlineLevel="0" collapsed="false">
      <c r="A31" s="9" t="s">
        <v>1137</v>
      </c>
      <c r="B31" s="10" t="s">
        <v>1130</v>
      </c>
      <c r="C31" s="10" t="s">
        <v>1138</v>
      </c>
      <c r="D31" s="10" t="s">
        <v>1139</v>
      </c>
      <c r="E31" s="10" t="s">
        <v>643</v>
      </c>
      <c r="F31" s="10" t="s">
        <v>1140</v>
      </c>
      <c r="G31" s="10" t="s">
        <v>1141</v>
      </c>
      <c r="H31" s="11" t="s">
        <v>32</v>
      </c>
      <c r="I31" s="11" t="s">
        <v>207</v>
      </c>
      <c r="J31" s="10" t="s">
        <v>643</v>
      </c>
      <c r="K31" s="11" t="s">
        <v>183</v>
      </c>
      <c r="L31" s="10"/>
    </row>
    <row r="32" customFormat="false" ht="48.75" hidden="false" customHeight="true" outlineLevel="0" collapsed="false">
      <c r="A32" s="9" t="s">
        <v>1142</v>
      </c>
      <c r="B32" s="10" t="s">
        <v>1130</v>
      </c>
      <c r="C32" s="10" t="s">
        <v>1143</v>
      </c>
      <c r="D32" s="10" t="s">
        <v>1144</v>
      </c>
      <c r="E32" s="10" t="s">
        <v>1145</v>
      </c>
      <c r="F32" s="10" t="s">
        <v>1146</v>
      </c>
      <c r="G32" s="10" t="s">
        <v>1147</v>
      </c>
      <c r="H32" s="11" t="s">
        <v>31</v>
      </c>
      <c r="I32" s="11" t="s">
        <v>402</v>
      </c>
      <c r="J32" s="10" t="s">
        <v>1148</v>
      </c>
      <c r="K32" s="11" t="s">
        <v>183</v>
      </c>
      <c r="L32" s="10"/>
    </row>
    <row r="33" customFormat="false" ht="48.75" hidden="false" customHeight="true" outlineLevel="0" collapsed="false">
      <c r="A33" s="9" t="s">
        <v>1149</v>
      </c>
      <c r="B33" s="10" t="s">
        <v>1130</v>
      </c>
      <c r="C33" s="10" t="s">
        <v>1150</v>
      </c>
      <c r="D33" s="10" t="s">
        <v>1151</v>
      </c>
      <c r="E33" s="10" t="s">
        <v>1152</v>
      </c>
      <c r="F33" s="10" t="s">
        <v>1153</v>
      </c>
      <c r="G33" s="10" t="s">
        <v>1154</v>
      </c>
      <c r="H33" s="11" t="s">
        <v>31</v>
      </c>
      <c r="I33" s="11" t="s">
        <v>402</v>
      </c>
      <c r="J33" s="10" t="s">
        <v>107</v>
      </c>
      <c r="K33" s="11" t="s">
        <v>183</v>
      </c>
      <c r="L33" s="10"/>
    </row>
    <row r="34" customFormat="false" ht="63.75" hidden="false" customHeight="true" outlineLevel="0" collapsed="false">
      <c r="A34" s="9" t="s">
        <v>1155</v>
      </c>
      <c r="B34" s="10" t="s">
        <v>1130</v>
      </c>
      <c r="C34" s="10" t="s">
        <v>1156</v>
      </c>
      <c r="D34" s="10" t="s">
        <v>1157</v>
      </c>
      <c r="E34" s="10" t="s">
        <v>1158</v>
      </c>
      <c r="F34" s="10" t="s">
        <v>1159</v>
      </c>
      <c r="G34" s="10" t="s">
        <v>1160</v>
      </c>
      <c r="H34" s="11" t="s">
        <v>32</v>
      </c>
      <c r="I34" s="11" t="s">
        <v>207</v>
      </c>
      <c r="J34" s="10" t="s">
        <v>643</v>
      </c>
      <c r="K34" s="11" t="s">
        <v>183</v>
      </c>
      <c r="L34" s="10"/>
    </row>
    <row r="35" customFormat="false" ht="48.75" hidden="false" customHeight="true" outlineLevel="0" collapsed="false">
      <c r="A35" s="4" t="s">
        <v>1161</v>
      </c>
      <c r="B35" s="5" t="s">
        <v>1162</v>
      </c>
      <c r="C35" s="5" t="s">
        <v>1163</v>
      </c>
      <c r="D35" s="5" t="s">
        <v>1164</v>
      </c>
      <c r="E35" s="5" t="s">
        <v>1165</v>
      </c>
      <c r="F35" s="5" t="s">
        <v>1166</v>
      </c>
      <c r="G35" s="5" t="s">
        <v>1167</v>
      </c>
      <c r="H35" s="7" t="s">
        <v>32</v>
      </c>
      <c r="I35" s="7" t="s">
        <v>207</v>
      </c>
      <c r="J35" s="5" t="s">
        <v>643</v>
      </c>
      <c r="K35" s="7" t="s">
        <v>183</v>
      </c>
      <c r="L35" s="5"/>
    </row>
    <row r="36" customFormat="false" ht="63.75" hidden="false" customHeight="true" outlineLevel="0" collapsed="false">
      <c r="A36" s="4" t="s">
        <v>1168</v>
      </c>
      <c r="B36" s="5" t="s">
        <v>1162</v>
      </c>
      <c r="C36" s="5" t="s">
        <v>1169</v>
      </c>
      <c r="D36" s="5" t="s">
        <v>1170</v>
      </c>
      <c r="E36" s="5" t="s">
        <v>643</v>
      </c>
      <c r="F36" s="5" t="s">
        <v>643</v>
      </c>
      <c r="G36" s="5" t="s">
        <v>1171</v>
      </c>
      <c r="H36" s="7" t="s">
        <v>31</v>
      </c>
      <c r="I36" s="7" t="s">
        <v>1172</v>
      </c>
      <c r="J36" s="5" t="s">
        <v>643</v>
      </c>
      <c r="K36" s="7" t="s">
        <v>183</v>
      </c>
      <c r="L36" s="5"/>
    </row>
    <row r="37" customFormat="false" ht="63.75" hidden="false" customHeight="true" outlineLevel="0" collapsed="false">
      <c r="A37" s="4" t="s">
        <v>1173</v>
      </c>
      <c r="B37" s="5" t="s">
        <v>1162</v>
      </c>
      <c r="C37" s="5" t="s">
        <v>1174</v>
      </c>
      <c r="D37" s="5" t="s">
        <v>1175</v>
      </c>
      <c r="E37" s="5" t="s">
        <v>1176</v>
      </c>
      <c r="F37" s="5" t="s">
        <v>1177</v>
      </c>
      <c r="G37" s="5" t="s">
        <v>1178</v>
      </c>
      <c r="H37" s="7" t="s">
        <v>32</v>
      </c>
      <c r="I37" s="7" t="s">
        <v>402</v>
      </c>
      <c r="J37" s="5" t="s">
        <v>1179</v>
      </c>
      <c r="K37" s="7" t="s">
        <v>183</v>
      </c>
      <c r="L37" s="5"/>
    </row>
    <row r="38" customFormat="false" ht="48.75" hidden="false" customHeight="true" outlineLevel="0" collapsed="false">
      <c r="A38" s="9" t="s">
        <v>1180</v>
      </c>
      <c r="B38" s="10" t="s">
        <v>1181</v>
      </c>
      <c r="C38" s="10" t="s">
        <v>1182</v>
      </c>
      <c r="D38" s="10" t="s">
        <v>1183</v>
      </c>
      <c r="E38" s="10" t="s">
        <v>1184</v>
      </c>
      <c r="F38" s="10" t="s">
        <v>1185</v>
      </c>
      <c r="G38" s="10" t="s">
        <v>1081</v>
      </c>
      <c r="H38" s="11" t="s">
        <v>31</v>
      </c>
      <c r="I38" s="11" t="s">
        <v>182</v>
      </c>
      <c r="J38" s="10" t="s">
        <v>643</v>
      </c>
      <c r="K38" s="11" t="s">
        <v>183</v>
      </c>
      <c r="L38" s="10"/>
    </row>
    <row r="39" customFormat="false" ht="63.75" hidden="false" customHeight="true" outlineLevel="0" collapsed="false">
      <c r="A39" s="9" t="s">
        <v>1186</v>
      </c>
      <c r="B39" s="10" t="s">
        <v>1181</v>
      </c>
      <c r="C39" s="10" t="s">
        <v>1187</v>
      </c>
      <c r="D39" s="10" t="s">
        <v>1188</v>
      </c>
      <c r="E39" s="10" t="s">
        <v>1189</v>
      </c>
      <c r="F39" s="10" t="s">
        <v>1190</v>
      </c>
      <c r="G39" s="10" t="s">
        <v>1191</v>
      </c>
      <c r="H39" s="11" t="s">
        <v>31</v>
      </c>
      <c r="I39" s="11" t="s">
        <v>182</v>
      </c>
      <c r="J39" s="10" t="s">
        <v>643</v>
      </c>
      <c r="K39" s="11" t="s">
        <v>183</v>
      </c>
      <c r="L39" s="10"/>
    </row>
    <row r="40" customFormat="false" ht="63.75" hidden="false" customHeight="true" outlineLevel="0" collapsed="false">
      <c r="A40" s="9" t="s">
        <v>1192</v>
      </c>
      <c r="B40" s="10" t="s">
        <v>1181</v>
      </c>
      <c r="C40" s="10" t="s">
        <v>1193</v>
      </c>
      <c r="D40" s="10" t="s">
        <v>1194</v>
      </c>
      <c r="E40" s="10" t="s">
        <v>1195</v>
      </c>
      <c r="F40" s="10" t="s">
        <v>1196</v>
      </c>
      <c r="G40" s="10" t="s">
        <v>1197</v>
      </c>
      <c r="H40" s="11" t="s">
        <v>31</v>
      </c>
      <c r="I40" s="11" t="s">
        <v>182</v>
      </c>
      <c r="J40" s="10" t="s">
        <v>643</v>
      </c>
      <c r="K40" s="11" t="s">
        <v>183</v>
      </c>
      <c r="L40" s="10"/>
    </row>
    <row r="41" customFormat="false" ht="48.75" hidden="false" customHeight="true" outlineLevel="0" collapsed="false">
      <c r="A41" s="9" t="s">
        <v>1198</v>
      </c>
      <c r="B41" s="10" t="s">
        <v>1181</v>
      </c>
      <c r="C41" s="10" t="s">
        <v>1199</v>
      </c>
      <c r="D41" s="10" t="s">
        <v>1200</v>
      </c>
      <c r="E41" s="10" t="s">
        <v>643</v>
      </c>
      <c r="F41" s="10" t="s">
        <v>1201</v>
      </c>
      <c r="G41" s="10" t="s">
        <v>1202</v>
      </c>
      <c r="H41" s="11" t="s">
        <v>31</v>
      </c>
      <c r="I41" s="11" t="s">
        <v>182</v>
      </c>
      <c r="J41" s="10" t="s">
        <v>643</v>
      </c>
      <c r="K41" s="11" t="s">
        <v>183</v>
      </c>
      <c r="L41" s="10"/>
    </row>
    <row r="42" customFormat="false" ht="63.75" hidden="false" customHeight="true" outlineLevel="0" collapsed="false">
      <c r="A42" s="9" t="s">
        <v>1203</v>
      </c>
      <c r="B42" s="10" t="s">
        <v>1181</v>
      </c>
      <c r="C42" s="10" t="s">
        <v>1204</v>
      </c>
      <c r="D42" s="10" t="s">
        <v>1205</v>
      </c>
      <c r="E42" s="10" t="s">
        <v>1206</v>
      </c>
      <c r="F42" s="10" t="s">
        <v>1207</v>
      </c>
      <c r="G42" s="10" t="s">
        <v>1208</v>
      </c>
      <c r="H42" s="11" t="s">
        <v>32</v>
      </c>
      <c r="I42" s="11" t="s">
        <v>182</v>
      </c>
      <c r="J42" s="10" t="s">
        <v>1209</v>
      </c>
      <c r="K42" s="11" t="s">
        <v>183</v>
      </c>
      <c r="L42" s="10"/>
    </row>
    <row r="43" customFormat="false" ht="48.75" hidden="false" customHeight="true" outlineLevel="0" collapsed="false">
      <c r="A43" s="9" t="s">
        <v>1210</v>
      </c>
      <c r="B43" s="10" t="s">
        <v>1181</v>
      </c>
      <c r="C43" s="10" t="s">
        <v>1211</v>
      </c>
      <c r="D43" s="10" t="s">
        <v>1212</v>
      </c>
      <c r="E43" s="10" t="s">
        <v>643</v>
      </c>
      <c r="F43" s="10" t="s">
        <v>643</v>
      </c>
      <c r="G43" s="10" t="s">
        <v>1213</v>
      </c>
      <c r="H43" s="11" t="s">
        <v>32</v>
      </c>
      <c r="I43" s="11" t="s">
        <v>182</v>
      </c>
      <c r="J43" s="10" t="s">
        <v>643</v>
      </c>
      <c r="K43" s="11" t="s">
        <v>183</v>
      </c>
      <c r="L43" s="10"/>
    </row>
    <row r="44" customFormat="false" ht="33.75" hidden="false" customHeight="true" outlineLevel="0" collapsed="false">
      <c r="A44" s="4" t="s">
        <v>1214</v>
      </c>
      <c r="B44" s="5" t="s">
        <v>45</v>
      </c>
      <c r="C44" s="5" t="s">
        <v>1215</v>
      </c>
      <c r="D44" s="5" t="s">
        <v>1216</v>
      </c>
      <c r="E44" s="5" t="s">
        <v>1217</v>
      </c>
      <c r="F44" s="5" t="s">
        <v>1218</v>
      </c>
      <c r="G44" s="5" t="s">
        <v>1219</v>
      </c>
      <c r="H44" s="7" t="s">
        <v>31</v>
      </c>
      <c r="I44" s="7" t="s">
        <v>182</v>
      </c>
      <c r="J44" s="5" t="s">
        <v>1001</v>
      </c>
      <c r="K44" s="7" t="s">
        <v>183</v>
      </c>
      <c r="L44" s="5"/>
    </row>
    <row r="45" customFormat="false" ht="48.75" hidden="false" customHeight="true" outlineLevel="0" collapsed="false">
      <c r="A45" s="4" t="s">
        <v>1220</v>
      </c>
      <c r="B45" s="5" t="s">
        <v>45</v>
      </c>
      <c r="C45" s="5" t="s">
        <v>1221</v>
      </c>
      <c r="D45" s="5" t="s">
        <v>1222</v>
      </c>
      <c r="E45" s="5" t="s">
        <v>643</v>
      </c>
      <c r="F45" s="5" t="s">
        <v>1223</v>
      </c>
      <c r="G45" s="5" t="s">
        <v>1224</v>
      </c>
      <c r="H45" s="7" t="s">
        <v>31</v>
      </c>
      <c r="I45" s="7" t="s">
        <v>317</v>
      </c>
      <c r="J45" s="5" t="s">
        <v>1225</v>
      </c>
      <c r="K45" s="7" t="s">
        <v>183</v>
      </c>
      <c r="L45" s="5"/>
    </row>
    <row r="46" customFormat="false" ht="48.75" hidden="false" customHeight="true" outlineLevel="0" collapsed="false">
      <c r="A46" s="4" t="s">
        <v>1226</v>
      </c>
      <c r="B46" s="5" t="s">
        <v>45</v>
      </c>
      <c r="C46" s="5" t="s">
        <v>1227</v>
      </c>
      <c r="D46" s="5" t="s">
        <v>1228</v>
      </c>
      <c r="E46" s="5" t="s">
        <v>1229</v>
      </c>
      <c r="F46" s="5" t="s">
        <v>1230</v>
      </c>
      <c r="G46" s="5" t="s">
        <v>1231</v>
      </c>
      <c r="H46" s="7" t="s">
        <v>32</v>
      </c>
      <c r="I46" s="7" t="s">
        <v>207</v>
      </c>
      <c r="J46" s="5" t="s">
        <v>643</v>
      </c>
      <c r="K46" s="7" t="s">
        <v>183</v>
      </c>
      <c r="L46" s="5"/>
    </row>
    <row r="47" customFormat="false" ht="63.75" hidden="false" customHeight="true" outlineLevel="0" collapsed="false">
      <c r="A47" s="9" t="s">
        <v>1232</v>
      </c>
      <c r="B47" s="10" t="s">
        <v>1233</v>
      </c>
      <c r="C47" s="10" t="s">
        <v>1234</v>
      </c>
      <c r="D47" s="10" t="s">
        <v>1235</v>
      </c>
      <c r="E47" s="10" t="s">
        <v>1236</v>
      </c>
      <c r="F47" s="10" t="s">
        <v>1237</v>
      </c>
      <c r="G47" s="10" t="s">
        <v>1238</v>
      </c>
      <c r="H47" s="11" t="s">
        <v>31</v>
      </c>
      <c r="I47" s="11" t="s">
        <v>182</v>
      </c>
      <c r="J47" s="10" t="s">
        <v>549</v>
      </c>
      <c r="K47" s="11" t="s">
        <v>183</v>
      </c>
      <c r="L47" s="10"/>
    </row>
    <row r="48" customFormat="false" ht="63.75" hidden="false" customHeight="true" outlineLevel="0" collapsed="false">
      <c r="A48" s="9" t="s">
        <v>1239</v>
      </c>
      <c r="B48" s="10" t="s">
        <v>1233</v>
      </c>
      <c r="C48" s="10" t="s">
        <v>1240</v>
      </c>
      <c r="D48" s="10" t="s">
        <v>1241</v>
      </c>
      <c r="E48" s="10" t="s">
        <v>1242</v>
      </c>
      <c r="F48" s="10" t="s">
        <v>1243</v>
      </c>
      <c r="G48" s="10" t="s">
        <v>1244</v>
      </c>
      <c r="H48" s="11" t="s">
        <v>31</v>
      </c>
      <c r="I48" s="11" t="s">
        <v>402</v>
      </c>
      <c r="J48" s="10" t="s">
        <v>1245</v>
      </c>
      <c r="K48" s="11" t="s">
        <v>183</v>
      </c>
      <c r="L48" s="10"/>
    </row>
    <row r="49" customFormat="false" ht="33.75" hidden="false" customHeight="true" outlineLevel="0" collapsed="false">
      <c r="A49" s="9" t="s">
        <v>1246</v>
      </c>
      <c r="B49" s="10" t="s">
        <v>1233</v>
      </c>
      <c r="C49" s="10" t="s">
        <v>1247</v>
      </c>
      <c r="D49" s="10" t="s">
        <v>1248</v>
      </c>
      <c r="E49" s="10" t="s">
        <v>643</v>
      </c>
      <c r="F49" s="10" t="s">
        <v>643</v>
      </c>
      <c r="G49" s="10" t="s">
        <v>1249</v>
      </c>
      <c r="H49" s="11" t="s">
        <v>32</v>
      </c>
      <c r="I49" s="11" t="s">
        <v>207</v>
      </c>
      <c r="J49" s="10" t="s">
        <v>643</v>
      </c>
      <c r="K49" s="11" t="s">
        <v>183</v>
      </c>
      <c r="L49" s="10"/>
    </row>
    <row r="50" customFormat="false" ht="33.75" hidden="false" customHeight="true" outlineLevel="0" collapsed="false">
      <c r="A50" s="4" t="s">
        <v>1250</v>
      </c>
      <c r="B50" s="5" t="s">
        <v>1251</v>
      </c>
      <c r="C50" s="5" t="s">
        <v>1252</v>
      </c>
      <c r="D50" s="5" t="s">
        <v>1253</v>
      </c>
      <c r="E50" s="5" t="s">
        <v>1254</v>
      </c>
      <c r="F50" s="5" t="s">
        <v>1255</v>
      </c>
      <c r="G50" s="5" t="s">
        <v>1256</v>
      </c>
      <c r="H50" s="7" t="s">
        <v>31</v>
      </c>
      <c r="I50" s="7" t="s">
        <v>234</v>
      </c>
      <c r="J50" s="5" t="s">
        <v>1257</v>
      </c>
      <c r="K50" s="7" t="s">
        <v>183</v>
      </c>
      <c r="L50" s="5"/>
    </row>
    <row r="51" customFormat="false" ht="48.75" hidden="false" customHeight="true" outlineLevel="0" collapsed="false">
      <c r="A51" s="4" t="s">
        <v>1258</v>
      </c>
      <c r="B51" s="5" t="s">
        <v>1251</v>
      </c>
      <c r="C51" s="5" t="s">
        <v>1259</v>
      </c>
      <c r="D51" s="5" t="s">
        <v>1260</v>
      </c>
      <c r="E51" s="5" t="s">
        <v>1261</v>
      </c>
      <c r="F51" s="5" t="s">
        <v>643</v>
      </c>
      <c r="G51" s="5" t="s">
        <v>1262</v>
      </c>
      <c r="H51" s="7" t="s">
        <v>31</v>
      </c>
      <c r="I51" s="7" t="s">
        <v>234</v>
      </c>
      <c r="J51" s="5" t="s">
        <v>1263</v>
      </c>
      <c r="K51" s="7" t="s">
        <v>183</v>
      </c>
      <c r="L51" s="5"/>
    </row>
    <row r="52" customFormat="false" ht="48.75" hidden="false" customHeight="true" outlineLevel="0" collapsed="false">
      <c r="A52" s="4" t="s">
        <v>1264</v>
      </c>
      <c r="B52" s="5" t="s">
        <v>1251</v>
      </c>
      <c r="C52" s="5" t="s">
        <v>1265</v>
      </c>
      <c r="D52" s="5" t="s">
        <v>1266</v>
      </c>
      <c r="E52" s="5" t="s">
        <v>1267</v>
      </c>
      <c r="F52" s="5" t="s">
        <v>643</v>
      </c>
      <c r="G52" s="5" t="s">
        <v>1268</v>
      </c>
      <c r="H52" s="7" t="s">
        <v>31</v>
      </c>
      <c r="I52" s="7" t="s">
        <v>234</v>
      </c>
      <c r="J52" s="5" t="s">
        <v>643</v>
      </c>
      <c r="K52" s="7" t="s">
        <v>183</v>
      </c>
      <c r="L52" s="5"/>
    </row>
    <row r="53" customFormat="false" ht="48.75" hidden="false" customHeight="true" outlineLevel="0" collapsed="false">
      <c r="A53" s="9" t="s">
        <v>1269</v>
      </c>
      <c r="B53" s="10" t="s">
        <v>15</v>
      </c>
      <c r="C53" s="10" t="s">
        <v>1270</v>
      </c>
      <c r="D53" s="10" t="s">
        <v>1271</v>
      </c>
      <c r="E53" s="10" t="s">
        <v>1272</v>
      </c>
      <c r="F53" s="10" t="s">
        <v>1273</v>
      </c>
      <c r="G53" s="10" t="s">
        <v>1274</v>
      </c>
      <c r="H53" s="11" t="s">
        <v>31</v>
      </c>
      <c r="I53" s="11" t="s">
        <v>182</v>
      </c>
      <c r="J53" s="10" t="s">
        <v>556</v>
      </c>
      <c r="K53" s="11" t="s">
        <v>183</v>
      </c>
      <c r="L53" s="10"/>
    </row>
    <row r="54" customFormat="false" ht="63.75" hidden="false" customHeight="true" outlineLevel="0" collapsed="false">
      <c r="A54" s="9" t="s">
        <v>1275</v>
      </c>
      <c r="B54" s="10" t="s">
        <v>15</v>
      </c>
      <c r="C54" s="10" t="s">
        <v>1276</v>
      </c>
      <c r="D54" s="10" t="s">
        <v>1277</v>
      </c>
      <c r="E54" s="10" t="s">
        <v>1278</v>
      </c>
      <c r="F54" s="10" t="s">
        <v>1279</v>
      </c>
      <c r="G54" s="10" t="s">
        <v>1280</v>
      </c>
      <c r="H54" s="11" t="s">
        <v>31</v>
      </c>
      <c r="I54" s="11" t="s">
        <v>182</v>
      </c>
      <c r="J54" s="10" t="s">
        <v>605</v>
      </c>
      <c r="K54" s="11" t="s">
        <v>183</v>
      </c>
      <c r="L54" s="10"/>
    </row>
    <row r="55" customFormat="false" ht="33.75" hidden="false" customHeight="true" outlineLevel="0" collapsed="false">
      <c r="A55" s="9" t="s">
        <v>1281</v>
      </c>
      <c r="B55" s="10" t="s">
        <v>15</v>
      </c>
      <c r="C55" s="10" t="s">
        <v>1282</v>
      </c>
      <c r="D55" s="10" t="s">
        <v>1283</v>
      </c>
      <c r="E55" s="10" t="s">
        <v>1284</v>
      </c>
      <c r="F55" s="10" t="s">
        <v>1285</v>
      </c>
      <c r="G55" s="10" t="s">
        <v>1286</v>
      </c>
      <c r="H55" s="11" t="s">
        <v>32</v>
      </c>
      <c r="I55" s="11" t="s">
        <v>182</v>
      </c>
      <c r="J55" s="10" t="s">
        <v>605</v>
      </c>
      <c r="K55" s="11" t="s">
        <v>183</v>
      </c>
      <c r="L55" s="10"/>
    </row>
    <row r="56" customFormat="false" ht="63.75" hidden="false" customHeight="true" outlineLevel="0" collapsed="false">
      <c r="A56" s="4" t="s">
        <v>1287</v>
      </c>
      <c r="B56" s="5" t="s">
        <v>1288</v>
      </c>
      <c r="C56" s="5" t="s">
        <v>1289</v>
      </c>
      <c r="D56" s="5" t="s">
        <v>1290</v>
      </c>
      <c r="E56" s="5" t="s">
        <v>1291</v>
      </c>
      <c r="F56" s="5" t="s">
        <v>1292</v>
      </c>
      <c r="G56" s="5" t="s">
        <v>1293</v>
      </c>
      <c r="H56" s="7" t="s">
        <v>31</v>
      </c>
      <c r="I56" s="7" t="s">
        <v>1172</v>
      </c>
      <c r="J56" s="5" t="s">
        <v>1294</v>
      </c>
      <c r="K56" s="7" t="s">
        <v>183</v>
      </c>
      <c r="L56" s="5"/>
    </row>
    <row r="57" customFormat="false" ht="48.75" hidden="false" customHeight="true" outlineLevel="0" collapsed="false">
      <c r="A57" s="4" t="s">
        <v>1295</v>
      </c>
      <c r="B57" s="5" t="s">
        <v>1288</v>
      </c>
      <c r="C57" s="5" t="s">
        <v>1296</v>
      </c>
      <c r="D57" s="5" t="s">
        <v>1297</v>
      </c>
      <c r="E57" s="5" t="s">
        <v>1298</v>
      </c>
      <c r="F57" s="5" t="s">
        <v>1299</v>
      </c>
      <c r="G57" s="5" t="s">
        <v>1300</v>
      </c>
      <c r="H57" s="7" t="s">
        <v>31</v>
      </c>
      <c r="I57" s="7" t="s">
        <v>182</v>
      </c>
      <c r="J57" s="5" t="s">
        <v>643</v>
      </c>
      <c r="K57" s="7" t="s">
        <v>183</v>
      </c>
      <c r="L57" s="5"/>
    </row>
    <row r="58" customFormat="false" ht="48.75" hidden="false" customHeight="true" outlineLevel="0" collapsed="false">
      <c r="A58" s="4" t="s">
        <v>1301</v>
      </c>
      <c r="B58" s="5" t="s">
        <v>1288</v>
      </c>
      <c r="C58" s="5" t="s">
        <v>1302</v>
      </c>
      <c r="D58" s="5" t="s">
        <v>1303</v>
      </c>
      <c r="E58" s="5" t="s">
        <v>643</v>
      </c>
      <c r="F58" s="5" t="s">
        <v>1304</v>
      </c>
      <c r="G58" s="5" t="s">
        <v>1305</v>
      </c>
      <c r="H58" s="7" t="s">
        <v>32</v>
      </c>
      <c r="I58" s="7" t="s">
        <v>274</v>
      </c>
      <c r="J58" s="5" t="s">
        <v>623</v>
      </c>
      <c r="K58" s="7" t="s">
        <v>183</v>
      </c>
      <c r="L58" s="5"/>
    </row>
    <row r="59" customFormat="false" ht="48.75" hidden="false" customHeight="true" outlineLevel="0" collapsed="false">
      <c r="A59" s="4" t="s">
        <v>1306</v>
      </c>
      <c r="B59" s="5" t="s">
        <v>1288</v>
      </c>
      <c r="C59" s="5" t="s">
        <v>1307</v>
      </c>
      <c r="D59" s="5" t="s">
        <v>1308</v>
      </c>
      <c r="E59" s="5" t="s">
        <v>643</v>
      </c>
      <c r="F59" s="5" t="s">
        <v>1309</v>
      </c>
      <c r="G59" s="5" t="s">
        <v>1310</v>
      </c>
      <c r="H59" s="7" t="s">
        <v>31</v>
      </c>
      <c r="I59" s="7" t="s">
        <v>1172</v>
      </c>
      <c r="J59" s="5" t="s">
        <v>643</v>
      </c>
      <c r="K59" s="7" t="s">
        <v>183</v>
      </c>
      <c r="L59" s="5"/>
    </row>
    <row r="60" customFormat="false" ht="48.75" hidden="false" customHeight="true" outlineLevel="0" collapsed="false">
      <c r="A60" s="9" t="s">
        <v>1311</v>
      </c>
      <c r="B60" s="10" t="s">
        <v>1312</v>
      </c>
      <c r="C60" s="10" t="s">
        <v>1313</v>
      </c>
      <c r="D60" s="10" t="s">
        <v>1314</v>
      </c>
      <c r="E60" s="10" t="s">
        <v>1315</v>
      </c>
      <c r="F60" s="10" t="s">
        <v>1316</v>
      </c>
      <c r="G60" s="10" t="s">
        <v>1317</v>
      </c>
      <c r="H60" s="11" t="s">
        <v>31</v>
      </c>
      <c r="I60" s="11" t="s">
        <v>182</v>
      </c>
      <c r="J60" s="10" t="s">
        <v>643</v>
      </c>
      <c r="K60" s="11" t="s">
        <v>183</v>
      </c>
      <c r="L60" s="10"/>
    </row>
    <row r="61" customFormat="false" ht="48.75" hidden="false" customHeight="true" outlineLevel="0" collapsed="false">
      <c r="A61" s="9" t="s">
        <v>1318</v>
      </c>
      <c r="B61" s="10" t="s">
        <v>1312</v>
      </c>
      <c r="C61" s="10" t="s">
        <v>1319</v>
      </c>
      <c r="D61" s="10" t="s">
        <v>1320</v>
      </c>
      <c r="E61" s="10" t="s">
        <v>1321</v>
      </c>
      <c r="F61" s="10" t="s">
        <v>1322</v>
      </c>
      <c r="G61" s="10" t="s">
        <v>1323</v>
      </c>
      <c r="H61" s="11" t="s">
        <v>31</v>
      </c>
      <c r="I61" s="11" t="s">
        <v>182</v>
      </c>
      <c r="J61" s="10" t="s">
        <v>643</v>
      </c>
      <c r="K61" s="11" t="s">
        <v>183</v>
      </c>
      <c r="L61" s="10"/>
    </row>
    <row r="62" customFormat="false" ht="33.75" hidden="false" customHeight="true" outlineLevel="0" collapsed="false">
      <c r="A62" s="4" t="s">
        <v>1324</v>
      </c>
      <c r="B62" s="5" t="s">
        <v>1325</v>
      </c>
      <c r="C62" s="5" t="s">
        <v>1326</v>
      </c>
      <c r="D62" s="5" t="s">
        <v>1327</v>
      </c>
      <c r="E62" s="5" t="s">
        <v>643</v>
      </c>
      <c r="F62" s="5" t="s">
        <v>643</v>
      </c>
      <c r="G62" s="5" t="s">
        <v>1328</v>
      </c>
      <c r="H62" s="7" t="s">
        <v>33</v>
      </c>
      <c r="I62" s="7" t="s">
        <v>207</v>
      </c>
      <c r="J62" s="5" t="s">
        <v>643</v>
      </c>
      <c r="K62" s="7" t="s">
        <v>183</v>
      </c>
      <c r="L62" s="5"/>
    </row>
  </sheetData>
  <autoFilter ref="A15:L62"/>
  <mergeCells count="18">
    <mergeCell ref="A1:L2"/>
    <mergeCell ref="A3:L3"/>
    <mergeCell ref="A5:L5"/>
    <mergeCell ref="A6:B6"/>
    <mergeCell ref="C6:L6"/>
    <mergeCell ref="A7:B7"/>
    <mergeCell ref="C7:L7"/>
    <mergeCell ref="A8:B8"/>
    <mergeCell ref="C8:L8"/>
    <mergeCell ref="A9:B9"/>
    <mergeCell ref="C9:L9"/>
    <mergeCell ref="A10:B10"/>
    <mergeCell ref="C10:L10"/>
    <mergeCell ref="A11:B11"/>
    <mergeCell ref="C11:L11"/>
    <mergeCell ref="A12:B12"/>
    <mergeCell ref="C12:L12"/>
    <mergeCell ref="A14:L14"/>
  </mergeCells>
  <conditionalFormatting sqref="H16:H62">
    <cfRule type="cellIs" priority="2" operator="equal" aboveAverage="0" equalAverage="0" bottom="0" percent="0" rank="0" text="" dxfId="8">
      <formula>"P0"</formula>
    </cfRule>
    <cfRule type="cellIs" priority="3" operator="equal" aboveAverage="0" equalAverage="0" bottom="0" percent="0" rank="0" text="" dxfId="9">
      <formula>"P1"</formula>
    </cfRule>
    <cfRule type="cellIs" priority="4" operator="equal" aboveAverage="0" equalAverage="0" bottom="0" percent="0" rank="0" text="" dxfId="10">
      <formula>"P2"</formula>
    </cfRule>
  </conditionalFormatting>
  <dataValidations count="3">
    <dataValidation allowBlank="true" errorStyle="stop" operator="between" showDropDown="false" showErrorMessage="false" showInputMessage="false" sqref="H16:H62" type="list">
      <formula1>"P0,P1,P2"</formula1>
      <formula2>0</formula2>
    </dataValidation>
    <dataValidation allowBlank="true" errorStyle="stop" operator="between" showDropDown="false" showErrorMessage="false" showInputMessage="false" sqref="I16:I62" type="list">
      <formula1>"Lot 1,Lot 2,Lot 3,Lot 4,Lot 5,Lot 6,Avant prod"</formula1>
      <formula2>0</formula2>
    </dataValidation>
    <dataValidation allowBlank="true" errorStyle="stop" operator="between" showDropDown="false" showErrorMessage="false" showInputMessage="false" sqref="K16:K62" type="list">
      <formula1>"À faire,En cours,Vérifié,Non conforme"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60"/>
    <col collapsed="false" customWidth="true" hidden="false" outlineLevel="0" max="4" min="4" style="0" width="40"/>
    <col collapsed="false" customWidth="true" hidden="false" outlineLevel="0" max="5" min="5" style="0" width="48"/>
    <col collapsed="false" customWidth="true" hidden="false" outlineLevel="0" max="6" min="6" style="0" width="22"/>
  </cols>
  <sheetData>
    <row r="1" customFormat="false" ht="15" hidden="false" customHeight="false" outlineLevel="0" collapsed="false">
      <c r="A1" s="1" t="s">
        <v>1329</v>
      </c>
      <c r="B1" s="1"/>
      <c r="C1" s="1"/>
      <c r="D1" s="1"/>
      <c r="E1" s="1"/>
      <c r="F1" s="1"/>
    </row>
    <row r="2" customFormat="false" ht="15" hidden="false" customHeight="false" outlineLevel="0" collapsed="false">
      <c r="A2" s="1"/>
      <c r="B2" s="1"/>
      <c r="C2" s="1"/>
      <c r="D2" s="1"/>
      <c r="E2" s="1"/>
      <c r="F2" s="1"/>
    </row>
    <row r="3" customFormat="false" ht="21.75" hidden="false" customHeight="true" outlineLevel="0" collapsed="false">
      <c r="A3" s="2" t="s">
        <v>1330</v>
      </c>
      <c r="B3" s="2"/>
      <c r="C3" s="2"/>
      <c r="D3" s="2"/>
      <c r="E3" s="2"/>
      <c r="F3" s="2"/>
    </row>
    <row r="5" customFormat="false" ht="31.5" hidden="false" customHeight="true" outlineLevel="0" collapsed="false">
      <c r="A5" s="6" t="s">
        <v>911</v>
      </c>
      <c r="B5" s="6" t="s">
        <v>1026</v>
      </c>
      <c r="C5" s="6" t="s">
        <v>1331</v>
      </c>
      <c r="D5" s="6" t="s">
        <v>1332</v>
      </c>
      <c r="E5" s="6" t="s">
        <v>1333</v>
      </c>
      <c r="F5" s="6" t="s">
        <v>1334</v>
      </c>
    </row>
    <row r="6" customFormat="false" ht="48.75" hidden="false" customHeight="true" outlineLevel="0" collapsed="false">
      <c r="A6" s="4" t="s">
        <v>1335</v>
      </c>
      <c r="B6" s="5" t="s">
        <v>22</v>
      </c>
      <c r="C6" s="5" t="s">
        <v>1336</v>
      </c>
      <c r="D6" s="5" t="s">
        <v>1337</v>
      </c>
      <c r="E6" s="5" t="s">
        <v>1338</v>
      </c>
      <c r="F6" s="5" t="s">
        <v>67</v>
      </c>
    </row>
    <row r="7" customFormat="false" ht="48.75" hidden="false" customHeight="true" outlineLevel="0" collapsed="false">
      <c r="A7" s="9" t="s">
        <v>1339</v>
      </c>
      <c r="B7" s="10" t="s">
        <v>9</v>
      </c>
      <c r="C7" s="10" t="s">
        <v>1340</v>
      </c>
      <c r="D7" s="10" t="s">
        <v>1341</v>
      </c>
      <c r="E7" s="10" t="s">
        <v>1342</v>
      </c>
      <c r="F7" s="10" t="s">
        <v>67</v>
      </c>
    </row>
    <row r="8" customFormat="false" ht="33.75" hidden="false" customHeight="true" outlineLevel="0" collapsed="false">
      <c r="A8" s="4" t="s">
        <v>1343</v>
      </c>
      <c r="B8" s="5" t="s">
        <v>24</v>
      </c>
      <c r="C8" s="5" t="s">
        <v>1344</v>
      </c>
      <c r="D8" s="5" t="s">
        <v>1345</v>
      </c>
      <c r="E8" s="5" t="s">
        <v>1346</v>
      </c>
      <c r="F8" s="5" t="s">
        <v>67</v>
      </c>
    </row>
    <row r="9" customFormat="false" ht="33.75" hidden="false" customHeight="true" outlineLevel="0" collapsed="false">
      <c r="A9" s="9" t="s">
        <v>1347</v>
      </c>
      <c r="B9" s="10" t="s">
        <v>164</v>
      </c>
      <c r="C9" s="10" t="s">
        <v>1348</v>
      </c>
      <c r="D9" s="10" t="s">
        <v>1349</v>
      </c>
      <c r="E9" s="10" t="s">
        <v>1350</v>
      </c>
      <c r="F9" s="10" t="s">
        <v>67</v>
      </c>
    </row>
    <row r="10" customFormat="false" ht="48.75" hidden="false" customHeight="true" outlineLevel="0" collapsed="false">
      <c r="A10" s="4" t="s">
        <v>1351</v>
      </c>
      <c r="B10" s="5" t="s">
        <v>1352</v>
      </c>
      <c r="C10" s="5" t="s">
        <v>1353</v>
      </c>
      <c r="D10" s="5" t="s">
        <v>1354</v>
      </c>
      <c r="E10" s="5" t="s">
        <v>1355</v>
      </c>
      <c r="F10" s="5" t="s">
        <v>67</v>
      </c>
    </row>
    <row r="11" customFormat="false" ht="48.75" hidden="false" customHeight="true" outlineLevel="0" collapsed="false">
      <c r="A11" s="9" t="s">
        <v>1356</v>
      </c>
      <c r="B11" s="10" t="s">
        <v>1357</v>
      </c>
      <c r="C11" s="10" t="s">
        <v>1358</v>
      </c>
      <c r="D11" s="10" t="s">
        <v>1359</v>
      </c>
      <c r="E11" s="10" t="s">
        <v>1360</v>
      </c>
      <c r="F11" s="10" t="s">
        <v>71</v>
      </c>
    </row>
    <row r="12" customFormat="false" ht="33.75" hidden="false" customHeight="true" outlineLevel="0" collapsed="false">
      <c r="A12" s="4" t="s">
        <v>1361</v>
      </c>
      <c r="B12" s="5" t="s">
        <v>1357</v>
      </c>
      <c r="C12" s="5" t="s">
        <v>1362</v>
      </c>
      <c r="D12" s="5" t="s">
        <v>1363</v>
      </c>
      <c r="E12" s="5" t="s">
        <v>1364</v>
      </c>
      <c r="F12" s="5" t="s">
        <v>1365</v>
      </c>
    </row>
    <row r="13" customFormat="false" ht="33.75" hidden="false" customHeight="true" outlineLevel="0" collapsed="false">
      <c r="A13" s="9" t="s">
        <v>1366</v>
      </c>
      <c r="B13" s="10" t="s">
        <v>1357</v>
      </c>
      <c r="C13" s="10" t="s">
        <v>1367</v>
      </c>
      <c r="D13" s="10" t="s">
        <v>1368</v>
      </c>
      <c r="E13" s="10" t="s">
        <v>1369</v>
      </c>
      <c r="F13" s="10" t="s">
        <v>71</v>
      </c>
    </row>
    <row r="14" customFormat="false" ht="33.75" hidden="false" customHeight="true" outlineLevel="0" collapsed="false">
      <c r="A14" s="4" t="s">
        <v>1370</v>
      </c>
      <c r="B14" s="5" t="s">
        <v>1371</v>
      </c>
      <c r="C14" s="5" t="s">
        <v>1372</v>
      </c>
      <c r="D14" s="5" t="s">
        <v>1373</v>
      </c>
      <c r="E14" s="5" t="s">
        <v>1374</v>
      </c>
      <c r="F14" s="5" t="s">
        <v>69</v>
      </c>
    </row>
    <row r="15" customFormat="false" ht="33.75" hidden="false" customHeight="true" outlineLevel="0" collapsed="false">
      <c r="A15" s="9" t="s">
        <v>1375</v>
      </c>
      <c r="B15" s="10" t="s">
        <v>1376</v>
      </c>
      <c r="C15" s="10" t="s">
        <v>1377</v>
      </c>
      <c r="D15" s="10" t="s">
        <v>1378</v>
      </c>
      <c r="E15" s="10" t="s">
        <v>1379</v>
      </c>
      <c r="F15" s="10" t="s">
        <v>592</v>
      </c>
    </row>
    <row r="16" customFormat="false" ht="33.75" hidden="false" customHeight="true" outlineLevel="0" collapsed="false">
      <c r="A16" s="4" t="s">
        <v>1380</v>
      </c>
      <c r="B16" s="5" t="s">
        <v>1376</v>
      </c>
      <c r="C16" s="5" t="s">
        <v>1381</v>
      </c>
      <c r="D16" s="5" t="s">
        <v>1382</v>
      </c>
      <c r="E16" s="5" t="s">
        <v>1383</v>
      </c>
      <c r="F16" s="5" t="s">
        <v>549</v>
      </c>
    </row>
    <row r="17" customFormat="false" ht="33.75" hidden="false" customHeight="true" outlineLevel="0" collapsed="false">
      <c r="A17" s="9" t="s">
        <v>1384</v>
      </c>
      <c r="B17" s="10" t="s">
        <v>1376</v>
      </c>
      <c r="C17" s="10" t="s">
        <v>1385</v>
      </c>
      <c r="D17" s="10" t="s">
        <v>1386</v>
      </c>
      <c r="E17" s="10" t="s">
        <v>1387</v>
      </c>
      <c r="F17" s="10" t="s">
        <v>534</v>
      </c>
    </row>
    <row r="18" customFormat="false" ht="33.75" hidden="false" customHeight="true" outlineLevel="0" collapsed="false">
      <c r="A18" s="4" t="s">
        <v>1388</v>
      </c>
      <c r="B18" s="5" t="s">
        <v>1376</v>
      </c>
      <c r="C18" s="5" t="s">
        <v>1389</v>
      </c>
      <c r="D18" s="5" t="s">
        <v>1390</v>
      </c>
      <c r="E18" s="5" t="s">
        <v>1391</v>
      </c>
      <c r="F18" s="5" t="s">
        <v>370</v>
      </c>
    </row>
    <row r="19" customFormat="false" ht="33.75" hidden="false" customHeight="true" outlineLevel="0" collapsed="false">
      <c r="A19" s="9" t="s">
        <v>1392</v>
      </c>
      <c r="B19" s="10" t="s">
        <v>1035</v>
      </c>
      <c r="C19" s="10" t="s">
        <v>1393</v>
      </c>
      <c r="D19" s="10" t="s">
        <v>1394</v>
      </c>
      <c r="E19" s="10" t="s">
        <v>1395</v>
      </c>
      <c r="F19" s="10" t="s">
        <v>1396</v>
      </c>
    </row>
    <row r="20" customFormat="false" ht="18.75" hidden="false" customHeight="true" outlineLevel="0" collapsed="false">
      <c r="A20" s="4" t="s">
        <v>1397</v>
      </c>
      <c r="B20" s="5" t="s">
        <v>1035</v>
      </c>
      <c r="C20" s="5" t="s">
        <v>1398</v>
      </c>
      <c r="D20" s="5" t="s">
        <v>1399</v>
      </c>
      <c r="E20" s="5" t="s">
        <v>1400</v>
      </c>
      <c r="F20" s="5" t="s">
        <v>468</v>
      </c>
    </row>
    <row r="21" customFormat="false" ht="33.75" hidden="false" customHeight="true" outlineLevel="0" collapsed="false">
      <c r="A21" s="9" t="s">
        <v>1401</v>
      </c>
      <c r="B21" s="10" t="s">
        <v>1035</v>
      </c>
      <c r="C21" s="10" t="s">
        <v>1402</v>
      </c>
      <c r="D21" s="10" t="s">
        <v>1403</v>
      </c>
      <c r="E21" s="10" t="s">
        <v>1404</v>
      </c>
      <c r="F21" s="10" t="s">
        <v>201</v>
      </c>
    </row>
    <row r="22" customFormat="false" ht="33.75" hidden="false" customHeight="true" outlineLevel="0" collapsed="false">
      <c r="A22" s="4" t="s">
        <v>1405</v>
      </c>
      <c r="B22" s="5" t="s">
        <v>1406</v>
      </c>
      <c r="C22" s="5" t="s">
        <v>1407</v>
      </c>
      <c r="D22" s="5" t="s">
        <v>1408</v>
      </c>
      <c r="E22" s="5" t="s">
        <v>1409</v>
      </c>
      <c r="F22" s="5" t="s">
        <v>338</v>
      </c>
    </row>
    <row r="23" customFormat="false" ht="33.75" hidden="false" customHeight="true" outlineLevel="0" collapsed="false">
      <c r="A23" s="9" t="s">
        <v>1410</v>
      </c>
      <c r="B23" s="10" t="s">
        <v>1406</v>
      </c>
      <c r="C23" s="10" t="s">
        <v>1411</v>
      </c>
      <c r="D23" s="10" t="s">
        <v>1412</v>
      </c>
      <c r="E23" s="10" t="s">
        <v>1413</v>
      </c>
      <c r="F23" s="10" t="s">
        <v>378</v>
      </c>
    </row>
    <row r="24" customFormat="false" ht="33.75" hidden="false" customHeight="true" outlineLevel="0" collapsed="false">
      <c r="A24" s="4" t="s">
        <v>1414</v>
      </c>
      <c r="B24" s="5" t="s">
        <v>1406</v>
      </c>
      <c r="C24" s="5" t="s">
        <v>1415</v>
      </c>
      <c r="D24" s="5" t="s">
        <v>1416</v>
      </c>
      <c r="E24" s="5" t="s">
        <v>1417</v>
      </c>
      <c r="F24" s="5" t="s">
        <v>1418</v>
      </c>
    </row>
    <row r="25" customFormat="false" ht="33.75" hidden="false" customHeight="true" outlineLevel="0" collapsed="false">
      <c r="A25" s="9" t="s">
        <v>1419</v>
      </c>
      <c r="B25" s="10" t="s">
        <v>1406</v>
      </c>
      <c r="C25" s="10" t="s">
        <v>1420</v>
      </c>
      <c r="D25" s="10" t="s">
        <v>1421</v>
      </c>
      <c r="E25" s="10" t="s">
        <v>1422</v>
      </c>
      <c r="F25" s="10" t="s">
        <v>427</v>
      </c>
    </row>
    <row r="26" customFormat="false" ht="33.75" hidden="false" customHeight="true" outlineLevel="0" collapsed="false">
      <c r="A26" s="4" t="s">
        <v>1423</v>
      </c>
      <c r="B26" s="5" t="s">
        <v>1406</v>
      </c>
      <c r="C26" s="5" t="s">
        <v>1424</v>
      </c>
      <c r="D26" s="5" t="s">
        <v>1425</v>
      </c>
      <c r="E26" s="5" t="s">
        <v>1426</v>
      </c>
      <c r="F26" s="5" t="s">
        <v>497</v>
      </c>
    </row>
    <row r="27" customFormat="false" ht="33.75" hidden="false" customHeight="true" outlineLevel="0" collapsed="false">
      <c r="A27" s="9" t="s">
        <v>1427</v>
      </c>
      <c r="B27" s="10" t="s">
        <v>1406</v>
      </c>
      <c r="C27" s="10" t="s">
        <v>1428</v>
      </c>
      <c r="D27" s="10" t="s">
        <v>1429</v>
      </c>
      <c r="E27" s="10" t="s">
        <v>1430</v>
      </c>
      <c r="F27" s="10" t="s">
        <v>276</v>
      </c>
    </row>
    <row r="28" customFormat="false" ht="33.75" hidden="false" customHeight="true" outlineLevel="0" collapsed="false">
      <c r="A28" s="4" t="s">
        <v>1431</v>
      </c>
      <c r="B28" s="5" t="s">
        <v>1288</v>
      </c>
      <c r="C28" s="5" t="s">
        <v>1432</v>
      </c>
      <c r="D28" s="5" t="s">
        <v>1433</v>
      </c>
      <c r="E28" s="5" t="s">
        <v>1434</v>
      </c>
      <c r="F28" s="5" t="s">
        <v>612</v>
      </c>
    </row>
    <row r="29" customFormat="false" ht="18.75" hidden="false" customHeight="true" outlineLevel="0" collapsed="false">
      <c r="A29" s="9" t="s">
        <v>1435</v>
      </c>
      <c r="B29" s="10" t="s">
        <v>1436</v>
      </c>
      <c r="C29" s="10" t="s">
        <v>1437</v>
      </c>
      <c r="D29" s="10" t="s">
        <v>1438</v>
      </c>
      <c r="E29" s="10" t="s">
        <v>1439</v>
      </c>
      <c r="F29" s="10" t="s">
        <v>1440</v>
      </c>
    </row>
    <row r="30" customFormat="false" ht="18.75" hidden="false" customHeight="true" outlineLevel="0" collapsed="false">
      <c r="A30" s="4" t="s">
        <v>1441</v>
      </c>
      <c r="B30" s="5" t="s">
        <v>1436</v>
      </c>
      <c r="C30" s="5" t="s">
        <v>1442</v>
      </c>
      <c r="D30" s="5" t="s">
        <v>1443</v>
      </c>
      <c r="E30" s="5" t="s">
        <v>1444</v>
      </c>
      <c r="F30" s="5" t="s">
        <v>238</v>
      </c>
    </row>
    <row r="31" customFormat="false" ht="33.75" hidden="false" customHeight="true" outlineLevel="0" collapsed="false">
      <c r="A31" s="9" t="s">
        <v>1445</v>
      </c>
      <c r="B31" s="10" t="s">
        <v>1436</v>
      </c>
      <c r="C31" s="10" t="s">
        <v>1446</v>
      </c>
      <c r="D31" s="10" t="s">
        <v>1447</v>
      </c>
      <c r="E31" s="10" t="s">
        <v>1448</v>
      </c>
      <c r="F31" s="10" t="s">
        <v>1449</v>
      </c>
    </row>
    <row r="32" customFormat="false" ht="33.75" hidden="false" customHeight="true" outlineLevel="0" collapsed="false">
      <c r="A32" s="4" t="s">
        <v>1450</v>
      </c>
      <c r="B32" s="5" t="s">
        <v>1436</v>
      </c>
      <c r="C32" s="5" t="s">
        <v>1451</v>
      </c>
      <c r="D32" s="5" t="s">
        <v>1452</v>
      </c>
      <c r="E32" s="5" t="s">
        <v>1453</v>
      </c>
      <c r="F32" s="5" t="s">
        <v>73</v>
      </c>
    </row>
    <row r="33" customFormat="false" ht="18.75" hidden="false" customHeight="true" outlineLevel="0" collapsed="false">
      <c r="A33" s="9" t="s">
        <v>1454</v>
      </c>
      <c r="B33" s="10" t="s">
        <v>1436</v>
      </c>
      <c r="C33" s="10" t="s">
        <v>1455</v>
      </c>
      <c r="D33" s="10" t="s">
        <v>1456</v>
      </c>
      <c r="E33" s="10" t="s">
        <v>1457</v>
      </c>
      <c r="F33" s="10" t="s">
        <v>338</v>
      </c>
    </row>
    <row r="34" customFormat="false" ht="33.75" hidden="false" customHeight="true" outlineLevel="0" collapsed="false">
      <c r="A34" s="4" t="s">
        <v>1458</v>
      </c>
      <c r="B34" s="5" t="s">
        <v>1436</v>
      </c>
      <c r="C34" s="5" t="s">
        <v>1459</v>
      </c>
      <c r="D34" s="5" t="s">
        <v>1460</v>
      </c>
      <c r="E34" s="5" t="s">
        <v>1461</v>
      </c>
      <c r="F34" s="5" t="s">
        <v>541</v>
      </c>
    </row>
    <row r="35" customFormat="false" ht="33.75" hidden="false" customHeight="true" outlineLevel="0" collapsed="false">
      <c r="A35" s="9" t="s">
        <v>1462</v>
      </c>
      <c r="B35" s="10" t="s">
        <v>60</v>
      </c>
      <c r="C35" s="10" t="s">
        <v>1463</v>
      </c>
      <c r="D35" s="10" t="s">
        <v>1464</v>
      </c>
      <c r="E35" s="10" t="s">
        <v>1465</v>
      </c>
      <c r="F35" s="10" t="s">
        <v>1466</v>
      </c>
    </row>
    <row r="36" customFormat="false" ht="33.75" hidden="false" customHeight="true" outlineLevel="0" collapsed="false">
      <c r="A36" s="4" t="s">
        <v>1467</v>
      </c>
      <c r="B36" s="5" t="s">
        <v>1468</v>
      </c>
      <c r="C36" s="5" t="s">
        <v>1469</v>
      </c>
      <c r="D36" s="5" t="s">
        <v>1470</v>
      </c>
      <c r="E36" s="5" t="s">
        <v>1471</v>
      </c>
      <c r="F36" s="5" t="s">
        <v>73</v>
      </c>
    </row>
  </sheetData>
  <autoFilter ref="A5:F36"/>
  <mergeCells count="2">
    <mergeCell ref="A1:F2"/>
    <mergeCell ref="A3:F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77F"/>
    <pageSetUpPr fitToPage="true"/>
  </sheetPr>
  <dimension ref="A1:G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4" min="3" style="0" width="30"/>
    <col collapsed="false" customWidth="true" hidden="false" outlineLevel="0" max="5" min="5" style="0" width="34"/>
    <col collapsed="false" customWidth="true" hidden="false" outlineLevel="0" max="6" min="6" style="0" width="36"/>
    <col collapsed="false" customWidth="true" hidden="false" outlineLevel="0" max="7" min="7" style="0" width="28"/>
  </cols>
  <sheetData>
    <row r="1" customFormat="false" ht="15" hidden="false" customHeight="false" outlineLevel="0" collapsed="false">
      <c r="A1" s="1" t="s">
        <v>1472</v>
      </c>
      <c r="B1" s="1"/>
      <c r="C1" s="1"/>
      <c r="D1" s="1"/>
      <c r="E1" s="1"/>
      <c r="F1" s="1"/>
      <c r="G1" s="1"/>
    </row>
    <row r="2" customFormat="false" ht="15" hidden="false" customHeight="false" outlineLevel="0" collapsed="false">
      <c r="A2" s="1"/>
      <c r="B2" s="1"/>
      <c r="C2" s="1"/>
      <c r="D2" s="1"/>
      <c r="E2" s="1"/>
      <c r="F2" s="1"/>
      <c r="G2" s="1"/>
    </row>
    <row r="3" customFormat="false" ht="21.75" hidden="false" customHeight="true" outlineLevel="0" collapsed="false">
      <c r="A3" s="2" t="s">
        <v>1473</v>
      </c>
      <c r="B3" s="2"/>
      <c r="C3" s="2"/>
      <c r="D3" s="2"/>
      <c r="E3" s="2"/>
      <c r="F3" s="2"/>
      <c r="G3" s="2"/>
    </row>
    <row r="5" customFormat="false" ht="21.75" hidden="false" customHeight="true" outlineLevel="0" collapsed="false">
      <c r="A5" s="3" t="s">
        <v>1474</v>
      </c>
      <c r="B5" s="3"/>
      <c r="C5" s="3"/>
      <c r="D5" s="3"/>
      <c r="E5" s="3"/>
      <c r="F5" s="3"/>
      <c r="G5" s="3"/>
    </row>
    <row r="6" customFormat="false" ht="36" hidden="false" customHeight="true" outlineLevel="0" collapsed="false">
      <c r="A6" s="4" t="s">
        <v>1475</v>
      </c>
      <c r="B6" s="5" t="s">
        <v>1476</v>
      </c>
      <c r="C6" s="5"/>
      <c r="D6" s="5"/>
      <c r="E6" s="5"/>
      <c r="F6" s="5"/>
      <c r="G6" s="5"/>
    </row>
    <row r="7" customFormat="false" ht="21" hidden="false" customHeight="true" outlineLevel="0" collapsed="false">
      <c r="A7" s="4" t="s">
        <v>1477</v>
      </c>
      <c r="B7" s="5" t="s">
        <v>1478</v>
      </c>
      <c r="C7" s="5"/>
      <c r="D7" s="5"/>
      <c r="E7" s="5"/>
      <c r="F7" s="5"/>
      <c r="G7" s="5"/>
    </row>
    <row r="8" customFormat="false" ht="21" hidden="false" customHeight="true" outlineLevel="0" collapsed="false">
      <c r="A8" s="4" t="s">
        <v>1479</v>
      </c>
      <c r="B8" s="5" t="s">
        <v>1480</v>
      </c>
      <c r="C8" s="5"/>
      <c r="D8" s="5"/>
      <c r="E8" s="5"/>
      <c r="F8" s="5"/>
      <c r="G8" s="5"/>
    </row>
    <row r="9" customFormat="false" ht="21" hidden="false" customHeight="true" outlineLevel="0" collapsed="false">
      <c r="A9" s="4" t="s">
        <v>1481</v>
      </c>
      <c r="B9" s="5" t="s">
        <v>1482</v>
      </c>
      <c r="C9" s="5"/>
      <c r="D9" s="5"/>
      <c r="E9" s="5"/>
      <c r="F9" s="5"/>
      <c r="G9" s="5"/>
    </row>
    <row r="10" customFormat="false" ht="21" hidden="false" customHeight="true" outlineLevel="0" collapsed="false">
      <c r="A10" s="4" t="s">
        <v>1483</v>
      </c>
      <c r="B10" s="5" t="s">
        <v>1484</v>
      </c>
      <c r="C10" s="5"/>
      <c r="D10" s="5"/>
      <c r="E10" s="5"/>
      <c r="F10" s="5"/>
      <c r="G10" s="5"/>
    </row>
    <row r="11" customFormat="false" ht="36" hidden="false" customHeight="true" outlineLevel="0" collapsed="false">
      <c r="A11" s="4" t="s">
        <v>1485</v>
      </c>
      <c r="B11" s="5" t="s">
        <v>1486</v>
      </c>
      <c r="C11" s="5"/>
      <c r="D11" s="5"/>
      <c r="E11" s="5"/>
      <c r="F11" s="5"/>
      <c r="G11" s="5"/>
    </row>
    <row r="12" customFormat="false" ht="21" hidden="false" customHeight="true" outlineLevel="0" collapsed="false">
      <c r="A12" s="4" t="s">
        <v>58</v>
      </c>
      <c r="B12" s="5" t="s">
        <v>1487</v>
      </c>
      <c r="C12" s="5"/>
      <c r="D12" s="5"/>
      <c r="E12" s="5"/>
      <c r="F12" s="5"/>
      <c r="G12" s="5"/>
    </row>
    <row r="13" customFormat="false" ht="21" hidden="false" customHeight="true" outlineLevel="0" collapsed="false">
      <c r="A13" s="4" t="s">
        <v>1488</v>
      </c>
      <c r="B13" s="5" t="s">
        <v>1489</v>
      </c>
      <c r="C13" s="5"/>
      <c r="D13" s="5"/>
      <c r="E13" s="5"/>
      <c r="F13" s="5"/>
      <c r="G13" s="5"/>
    </row>
    <row r="15" customFormat="false" ht="21.75" hidden="false" customHeight="true" outlineLevel="0" collapsed="false">
      <c r="A15" s="3" t="s">
        <v>1490</v>
      </c>
      <c r="B15" s="3"/>
      <c r="C15" s="3"/>
      <c r="D15" s="3"/>
      <c r="E15" s="3"/>
      <c r="F15" s="3"/>
      <c r="G15" s="3"/>
    </row>
    <row r="16" customFormat="false" ht="31.5" hidden="false" customHeight="true" outlineLevel="0" collapsed="false">
      <c r="A16" s="6" t="s">
        <v>1491</v>
      </c>
      <c r="B16" s="6" t="s">
        <v>1492</v>
      </c>
      <c r="C16" s="6" t="s">
        <v>1493</v>
      </c>
      <c r="D16" s="6" t="s">
        <v>1494</v>
      </c>
      <c r="E16" s="6" t="s">
        <v>1495</v>
      </c>
      <c r="F16" s="6" t="s">
        <v>1496</v>
      </c>
      <c r="G16" s="6" t="s">
        <v>1497</v>
      </c>
    </row>
    <row r="17" customFormat="false" ht="63.75" hidden="false" customHeight="true" outlineLevel="0" collapsed="false">
      <c r="A17" s="4" t="s">
        <v>1498</v>
      </c>
      <c r="B17" s="5" t="s">
        <v>1499</v>
      </c>
      <c r="C17" s="5" t="s">
        <v>1500</v>
      </c>
      <c r="D17" s="5" t="s">
        <v>1501</v>
      </c>
      <c r="E17" s="5" t="s">
        <v>1502</v>
      </c>
      <c r="F17" s="5" t="s">
        <v>1503</v>
      </c>
      <c r="G17" s="5" t="s">
        <v>1504</v>
      </c>
    </row>
    <row r="18" customFormat="false" ht="48.75" hidden="false" customHeight="true" outlineLevel="0" collapsed="false">
      <c r="A18" s="9" t="s">
        <v>1505</v>
      </c>
      <c r="B18" s="10" t="s">
        <v>1506</v>
      </c>
      <c r="C18" s="10" t="s">
        <v>1507</v>
      </c>
      <c r="D18" s="10" t="s">
        <v>1508</v>
      </c>
      <c r="E18" s="10" t="s">
        <v>1509</v>
      </c>
      <c r="F18" s="10" t="s">
        <v>1510</v>
      </c>
      <c r="G18" s="10" t="s">
        <v>1511</v>
      </c>
    </row>
    <row r="19" customFormat="false" ht="33.75" hidden="false" customHeight="true" outlineLevel="0" collapsed="false">
      <c r="A19" s="4" t="s">
        <v>1512</v>
      </c>
      <c r="B19" s="5" t="s">
        <v>1513</v>
      </c>
      <c r="C19" s="5" t="s">
        <v>1514</v>
      </c>
      <c r="D19" s="5" t="s">
        <v>1515</v>
      </c>
      <c r="E19" s="5" t="s">
        <v>1516</v>
      </c>
      <c r="F19" s="5" t="s">
        <v>1517</v>
      </c>
      <c r="G19" s="5" t="s">
        <v>1518</v>
      </c>
    </row>
    <row r="20" customFormat="false" ht="48.75" hidden="false" customHeight="true" outlineLevel="0" collapsed="false">
      <c r="A20" s="9" t="s">
        <v>1519</v>
      </c>
      <c r="B20" s="10" t="s">
        <v>1520</v>
      </c>
      <c r="C20" s="10" t="s">
        <v>1521</v>
      </c>
      <c r="D20" s="10" t="s">
        <v>1522</v>
      </c>
      <c r="E20" s="10" t="s">
        <v>1523</v>
      </c>
      <c r="F20" s="10" t="s">
        <v>1524</v>
      </c>
      <c r="G20" s="10" t="s">
        <v>1525</v>
      </c>
    </row>
    <row r="21" customFormat="false" ht="48.75" hidden="false" customHeight="true" outlineLevel="0" collapsed="false">
      <c r="A21" s="4" t="s">
        <v>1526</v>
      </c>
      <c r="B21" s="5" t="s">
        <v>1527</v>
      </c>
      <c r="C21" s="5" t="s">
        <v>1528</v>
      </c>
      <c r="D21" s="5" t="s">
        <v>1529</v>
      </c>
      <c r="E21" s="5" t="s">
        <v>1530</v>
      </c>
      <c r="F21" s="5" t="s">
        <v>1531</v>
      </c>
      <c r="G21" s="5" t="s">
        <v>1532</v>
      </c>
    </row>
    <row r="22" customFormat="false" ht="48.75" hidden="false" customHeight="true" outlineLevel="0" collapsed="false">
      <c r="A22" s="9" t="s">
        <v>1533</v>
      </c>
      <c r="B22" s="10" t="s">
        <v>1534</v>
      </c>
      <c r="C22" s="10" t="s">
        <v>1535</v>
      </c>
      <c r="D22" s="10" t="s">
        <v>1536</v>
      </c>
      <c r="E22" s="10" t="s">
        <v>1537</v>
      </c>
      <c r="F22" s="10" t="s">
        <v>1538</v>
      </c>
      <c r="G22" s="10" t="s">
        <v>1539</v>
      </c>
    </row>
    <row r="23" customFormat="false" ht="48.75" hidden="false" customHeight="true" outlineLevel="0" collapsed="false">
      <c r="A23" s="4" t="s">
        <v>1540</v>
      </c>
      <c r="B23" s="5" t="s">
        <v>1541</v>
      </c>
      <c r="C23" s="5" t="s">
        <v>1542</v>
      </c>
      <c r="D23" s="5" t="s">
        <v>1543</v>
      </c>
      <c r="E23" s="5" t="s">
        <v>1544</v>
      </c>
      <c r="F23" s="5" t="s">
        <v>1545</v>
      </c>
      <c r="G23" s="5" t="s">
        <v>1546</v>
      </c>
    </row>
    <row r="24" customFormat="false" ht="48.75" hidden="false" customHeight="true" outlineLevel="0" collapsed="false">
      <c r="A24" s="9" t="s">
        <v>1547</v>
      </c>
      <c r="B24" s="10" t="s">
        <v>1548</v>
      </c>
      <c r="C24" s="10" t="s">
        <v>1549</v>
      </c>
      <c r="D24" s="10" t="s">
        <v>1550</v>
      </c>
      <c r="E24" s="10" t="s">
        <v>1551</v>
      </c>
      <c r="F24" s="10" t="s">
        <v>1552</v>
      </c>
      <c r="G24" s="10" t="s">
        <v>1553</v>
      </c>
    </row>
    <row r="25" customFormat="false" ht="33.75" hidden="false" customHeight="true" outlineLevel="0" collapsed="false">
      <c r="A25" s="4" t="s">
        <v>1554</v>
      </c>
      <c r="B25" s="5" t="s">
        <v>1555</v>
      </c>
      <c r="C25" s="5" t="s">
        <v>1556</v>
      </c>
      <c r="D25" s="5" t="s">
        <v>1557</v>
      </c>
      <c r="E25" s="5" t="s">
        <v>1558</v>
      </c>
      <c r="F25" s="5" t="s">
        <v>1559</v>
      </c>
      <c r="G25" s="5" t="s">
        <v>1560</v>
      </c>
    </row>
    <row r="26" customFormat="false" ht="33.75" hidden="false" customHeight="true" outlineLevel="0" collapsed="false">
      <c r="A26" s="9" t="s">
        <v>1561</v>
      </c>
      <c r="B26" s="10" t="s">
        <v>1562</v>
      </c>
      <c r="C26" s="10" t="s">
        <v>1556</v>
      </c>
      <c r="D26" s="10" t="s">
        <v>1563</v>
      </c>
      <c r="E26" s="10" t="s">
        <v>1564</v>
      </c>
      <c r="F26" s="10" t="s">
        <v>1565</v>
      </c>
      <c r="G26" s="10" t="s">
        <v>1566</v>
      </c>
    </row>
    <row r="27" customFormat="false" ht="48.75" hidden="false" customHeight="true" outlineLevel="0" collapsed="false">
      <c r="A27" s="4" t="s">
        <v>1567</v>
      </c>
      <c r="B27" s="5" t="s">
        <v>1568</v>
      </c>
      <c r="C27" s="5" t="s">
        <v>1569</v>
      </c>
      <c r="D27" s="5" t="s">
        <v>1570</v>
      </c>
      <c r="E27" s="5" t="s">
        <v>1571</v>
      </c>
      <c r="F27" s="5" t="s">
        <v>1572</v>
      </c>
      <c r="G27" s="5" t="s">
        <v>1573</v>
      </c>
    </row>
    <row r="28" customFormat="false" ht="33.75" hidden="false" customHeight="true" outlineLevel="0" collapsed="false">
      <c r="A28" s="9" t="s">
        <v>1574</v>
      </c>
      <c r="B28" s="10" t="s">
        <v>1575</v>
      </c>
      <c r="C28" s="10" t="s">
        <v>1576</v>
      </c>
      <c r="D28" s="10" t="s">
        <v>1577</v>
      </c>
      <c r="E28" s="10" t="s">
        <v>1578</v>
      </c>
      <c r="F28" s="10" t="s">
        <v>643</v>
      </c>
      <c r="G28" s="10" t="s">
        <v>1579</v>
      </c>
    </row>
    <row r="30" customFormat="false" ht="21.75" hidden="false" customHeight="true" outlineLevel="0" collapsed="false">
      <c r="A30" s="3" t="s">
        <v>1580</v>
      </c>
      <c r="B30" s="3"/>
      <c r="C30" s="3"/>
      <c r="D30" s="3"/>
      <c r="E30" s="3"/>
      <c r="F30" s="3"/>
      <c r="G30" s="3"/>
    </row>
    <row r="31" customFormat="false" ht="21" hidden="false" customHeight="true" outlineLevel="0" collapsed="false">
      <c r="A31" s="4" t="s">
        <v>1581</v>
      </c>
      <c r="B31" s="5" t="s">
        <v>1582</v>
      </c>
      <c r="C31" s="5"/>
      <c r="D31" s="5"/>
      <c r="E31" s="5"/>
      <c r="F31" s="5"/>
      <c r="G31" s="5"/>
    </row>
    <row r="32" customFormat="false" ht="21" hidden="false" customHeight="true" outlineLevel="0" collapsed="false">
      <c r="A32" s="4" t="s">
        <v>1583</v>
      </c>
      <c r="B32" s="5" t="s">
        <v>1584</v>
      </c>
      <c r="C32" s="5"/>
      <c r="D32" s="5"/>
      <c r="E32" s="5"/>
      <c r="F32" s="5"/>
      <c r="G32" s="5"/>
    </row>
    <row r="33" customFormat="false" ht="21" hidden="false" customHeight="true" outlineLevel="0" collapsed="false">
      <c r="A33" s="4" t="s">
        <v>1585</v>
      </c>
      <c r="B33" s="5" t="s">
        <v>1586</v>
      </c>
      <c r="C33" s="5"/>
      <c r="D33" s="5"/>
      <c r="E33" s="5"/>
      <c r="F33" s="5"/>
      <c r="G33" s="5"/>
    </row>
    <row r="34" customFormat="false" ht="21" hidden="false" customHeight="true" outlineLevel="0" collapsed="false">
      <c r="A34" s="4" t="s">
        <v>1587</v>
      </c>
      <c r="B34" s="5" t="s">
        <v>1588</v>
      </c>
      <c r="C34" s="5"/>
      <c r="D34" s="5"/>
      <c r="E34" s="5"/>
      <c r="F34" s="5"/>
      <c r="G34" s="5"/>
    </row>
    <row r="35" customFormat="false" ht="21" hidden="false" customHeight="true" outlineLevel="0" collapsed="false">
      <c r="A35" s="4" t="s">
        <v>1589</v>
      </c>
      <c r="B35" s="5" t="s">
        <v>1590</v>
      </c>
      <c r="C35" s="5"/>
      <c r="D35" s="5"/>
      <c r="E35" s="5"/>
      <c r="F35" s="5"/>
      <c r="G35" s="5"/>
    </row>
    <row r="36" customFormat="false" ht="21" hidden="false" customHeight="true" outlineLevel="0" collapsed="false">
      <c r="A36" s="4" t="s">
        <v>1591</v>
      </c>
      <c r="B36" s="5" t="s">
        <v>1592</v>
      </c>
      <c r="C36" s="5"/>
      <c r="D36" s="5"/>
      <c r="E36" s="5"/>
      <c r="F36" s="5"/>
      <c r="G36" s="5"/>
    </row>
    <row r="37" customFormat="false" ht="21" hidden="false" customHeight="true" outlineLevel="0" collapsed="false">
      <c r="A37" s="4" t="s">
        <v>1593</v>
      </c>
      <c r="B37" s="5" t="s">
        <v>1594</v>
      </c>
      <c r="C37" s="5"/>
      <c r="D37" s="5"/>
      <c r="E37" s="5"/>
      <c r="F37" s="5"/>
      <c r="G37" s="5"/>
    </row>
    <row r="38" customFormat="false" ht="21" hidden="false" customHeight="true" outlineLevel="0" collapsed="false">
      <c r="A38" s="4" t="s">
        <v>1595</v>
      </c>
      <c r="B38" s="5" t="s">
        <v>1596</v>
      </c>
      <c r="C38" s="5"/>
      <c r="D38" s="5"/>
      <c r="E38" s="5"/>
      <c r="F38" s="5"/>
      <c r="G38" s="5"/>
    </row>
    <row r="40" customFormat="false" ht="21.75" hidden="false" customHeight="true" outlineLevel="0" collapsed="false">
      <c r="A40" s="3" t="s">
        <v>1597</v>
      </c>
      <c r="B40" s="3"/>
      <c r="C40" s="3"/>
      <c r="D40" s="3"/>
      <c r="E40" s="3"/>
      <c r="F40" s="3"/>
      <c r="G40" s="3"/>
    </row>
    <row r="41" customFormat="false" ht="21" hidden="false" customHeight="true" outlineLevel="0" collapsed="false">
      <c r="A41" s="4" t="s">
        <v>1598</v>
      </c>
      <c r="B41" s="5" t="s">
        <v>1599</v>
      </c>
      <c r="C41" s="5"/>
      <c r="D41" s="5"/>
      <c r="E41" s="5"/>
      <c r="F41" s="5"/>
      <c r="G41" s="5"/>
    </row>
    <row r="42" customFormat="false" ht="21" hidden="false" customHeight="true" outlineLevel="0" collapsed="false">
      <c r="A42" s="4" t="s">
        <v>1600</v>
      </c>
      <c r="B42" s="5" t="s">
        <v>1601</v>
      </c>
      <c r="C42" s="5"/>
      <c r="D42" s="5"/>
      <c r="E42" s="5"/>
      <c r="F42" s="5"/>
      <c r="G42" s="5"/>
    </row>
    <row r="43" customFormat="false" ht="21" hidden="false" customHeight="true" outlineLevel="0" collapsed="false">
      <c r="A43" s="4" t="s">
        <v>1602</v>
      </c>
      <c r="B43" s="5" t="s">
        <v>1603</v>
      </c>
      <c r="C43" s="5"/>
      <c r="D43" s="5"/>
      <c r="E43" s="5"/>
      <c r="F43" s="5"/>
      <c r="G43" s="5"/>
    </row>
    <row r="44" customFormat="false" ht="21" hidden="false" customHeight="true" outlineLevel="0" collapsed="false">
      <c r="A44" s="4" t="s">
        <v>1604</v>
      </c>
      <c r="B44" s="5" t="s">
        <v>1605</v>
      </c>
      <c r="C44" s="5"/>
      <c r="D44" s="5"/>
      <c r="E44" s="5"/>
      <c r="F44" s="5"/>
      <c r="G44" s="5"/>
    </row>
    <row r="45" customFormat="false" ht="21" hidden="false" customHeight="true" outlineLevel="0" collapsed="false">
      <c r="A45" s="4" t="s">
        <v>1606</v>
      </c>
      <c r="B45" s="5" t="s">
        <v>1607</v>
      </c>
      <c r="C45" s="5"/>
      <c r="D45" s="5"/>
      <c r="E45" s="5"/>
      <c r="F45" s="5"/>
      <c r="G45" s="5"/>
    </row>
    <row r="46" customFormat="false" ht="21" hidden="false" customHeight="true" outlineLevel="0" collapsed="false">
      <c r="A46" s="4" t="s">
        <v>1608</v>
      </c>
      <c r="B46" s="5" t="s">
        <v>1609</v>
      </c>
      <c r="C46" s="5"/>
      <c r="D46" s="5"/>
      <c r="E46" s="5"/>
      <c r="F46" s="5"/>
      <c r="G46" s="5"/>
    </row>
    <row r="47" customFormat="false" ht="21" hidden="false" customHeight="true" outlineLevel="0" collapsed="false">
      <c r="A47" s="4" t="s">
        <v>1610</v>
      </c>
      <c r="B47" s="5" t="s">
        <v>1611</v>
      </c>
      <c r="C47" s="5"/>
      <c r="D47" s="5"/>
      <c r="E47" s="5"/>
      <c r="F47" s="5"/>
      <c r="G47" s="5"/>
    </row>
    <row r="48" customFormat="false" ht="21" hidden="false" customHeight="true" outlineLevel="0" collapsed="false">
      <c r="A48" s="4" t="s">
        <v>1612</v>
      </c>
      <c r="B48" s="5" t="s">
        <v>1613</v>
      </c>
      <c r="C48" s="5"/>
      <c r="D48" s="5"/>
      <c r="E48" s="5"/>
      <c r="F48" s="5"/>
      <c r="G48" s="5"/>
    </row>
    <row r="50" customFormat="false" ht="21.75" hidden="false" customHeight="true" outlineLevel="0" collapsed="false">
      <c r="A50" s="3" t="s">
        <v>1614</v>
      </c>
      <c r="B50" s="3"/>
      <c r="C50" s="3"/>
      <c r="D50" s="3"/>
      <c r="E50" s="3"/>
      <c r="F50" s="3"/>
      <c r="G50" s="3"/>
    </row>
    <row r="51" customFormat="false" ht="21" hidden="false" customHeight="true" outlineLevel="0" collapsed="false">
      <c r="A51" s="4" t="s">
        <v>1615</v>
      </c>
      <c r="B51" s="5" t="s">
        <v>1616</v>
      </c>
      <c r="C51" s="5"/>
      <c r="D51" s="5"/>
      <c r="E51" s="5"/>
      <c r="F51" s="5"/>
      <c r="G51" s="5"/>
    </row>
    <row r="52" customFormat="false" ht="21" hidden="false" customHeight="true" outlineLevel="0" collapsed="false">
      <c r="A52" s="4" t="s">
        <v>1615</v>
      </c>
      <c r="B52" s="5" t="s">
        <v>1617</v>
      </c>
      <c r="C52" s="5"/>
      <c r="D52" s="5"/>
      <c r="E52" s="5"/>
      <c r="F52" s="5"/>
      <c r="G52" s="5"/>
    </row>
    <row r="53" customFormat="false" ht="21" hidden="false" customHeight="true" outlineLevel="0" collapsed="false">
      <c r="A53" s="4" t="s">
        <v>1615</v>
      </c>
      <c r="B53" s="5" t="s">
        <v>1618</v>
      </c>
      <c r="C53" s="5"/>
      <c r="D53" s="5"/>
      <c r="E53" s="5"/>
      <c r="F53" s="5"/>
      <c r="G53" s="5"/>
    </row>
    <row r="54" customFormat="false" ht="21" hidden="false" customHeight="true" outlineLevel="0" collapsed="false">
      <c r="A54" s="4" t="s">
        <v>1615</v>
      </c>
      <c r="B54" s="5" t="s">
        <v>1619</v>
      </c>
      <c r="C54" s="5"/>
      <c r="D54" s="5"/>
      <c r="E54" s="5"/>
      <c r="F54" s="5"/>
      <c r="G54" s="5"/>
    </row>
    <row r="55" customFormat="false" ht="21" hidden="false" customHeight="true" outlineLevel="0" collapsed="false">
      <c r="A55" s="4" t="s">
        <v>1620</v>
      </c>
      <c r="B55" s="5" t="s">
        <v>1621</v>
      </c>
      <c r="C55" s="5"/>
      <c r="D55" s="5"/>
      <c r="E55" s="5"/>
      <c r="F55" s="5"/>
      <c r="G55" s="5"/>
    </row>
    <row r="56" customFormat="false" ht="21" hidden="false" customHeight="true" outlineLevel="0" collapsed="false">
      <c r="A56" s="4" t="s">
        <v>1620</v>
      </c>
      <c r="B56" s="5" t="s">
        <v>1622</v>
      </c>
      <c r="C56" s="5"/>
      <c r="D56" s="5"/>
      <c r="E56" s="5"/>
      <c r="F56" s="5"/>
      <c r="G56" s="5"/>
    </row>
    <row r="57" customFormat="false" ht="21" hidden="false" customHeight="true" outlineLevel="0" collapsed="false">
      <c r="A57" s="4" t="s">
        <v>1620</v>
      </c>
      <c r="B57" s="5" t="s">
        <v>1623</v>
      </c>
      <c r="C57" s="5"/>
      <c r="D57" s="5"/>
      <c r="E57" s="5"/>
      <c r="F57" s="5"/>
      <c r="G57" s="5"/>
    </row>
    <row r="58" customFormat="false" ht="21" hidden="false" customHeight="true" outlineLevel="0" collapsed="false">
      <c r="A58" s="4" t="s">
        <v>1620</v>
      </c>
      <c r="B58" s="5" t="s">
        <v>1624</v>
      </c>
      <c r="C58" s="5"/>
      <c r="D58" s="5"/>
      <c r="E58" s="5"/>
      <c r="F58" s="5"/>
      <c r="G58" s="5"/>
    </row>
    <row r="60" customFormat="false" ht="21.75" hidden="false" customHeight="true" outlineLevel="0" collapsed="false">
      <c r="A60" s="3" t="s">
        <v>1625</v>
      </c>
      <c r="B60" s="3"/>
      <c r="C60" s="3"/>
      <c r="D60" s="3"/>
      <c r="E60" s="3"/>
      <c r="F60" s="3"/>
      <c r="G60" s="3"/>
    </row>
    <row r="61" customFormat="false" ht="21" hidden="false" customHeight="true" outlineLevel="0" collapsed="false">
      <c r="A61" s="4" t="s">
        <v>1626</v>
      </c>
      <c r="B61" s="5" t="s">
        <v>1627</v>
      </c>
      <c r="C61" s="5"/>
      <c r="D61" s="5"/>
      <c r="E61" s="5"/>
      <c r="F61" s="5"/>
      <c r="G61" s="5"/>
    </row>
    <row r="62" customFormat="false" ht="36" hidden="false" customHeight="true" outlineLevel="0" collapsed="false">
      <c r="A62" s="4" t="s">
        <v>1628</v>
      </c>
      <c r="B62" s="5" t="s">
        <v>1629</v>
      </c>
      <c r="C62" s="5"/>
      <c r="D62" s="5"/>
      <c r="E62" s="5"/>
      <c r="F62" s="5"/>
      <c r="G62" s="5"/>
    </row>
    <row r="63" customFormat="false" ht="36" hidden="false" customHeight="true" outlineLevel="0" collapsed="false">
      <c r="A63" s="4" t="s">
        <v>1630</v>
      </c>
      <c r="B63" s="5" t="s">
        <v>1631</v>
      </c>
      <c r="C63" s="5"/>
      <c r="D63" s="5"/>
      <c r="E63" s="5"/>
      <c r="F63" s="5"/>
      <c r="G63" s="5"/>
    </row>
    <row r="64" customFormat="false" ht="36" hidden="false" customHeight="true" outlineLevel="0" collapsed="false">
      <c r="A64" s="4" t="s">
        <v>1632</v>
      </c>
      <c r="B64" s="5" t="s">
        <v>1633</v>
      </c>
      <c r="C64" s="5"/>
      <c r="D64" s="5"/>
      <c r="E64" s="5"/>
      <c r="F64" s="5"/>
      <c r="G64" s="5"/>
    </row>
    <row r="65" customFormat="false" ht="36" hidden="false" customHeight="true" outlineLevel="0" collapsed="false">
      <c r="A65" s="4" t="s">
        <v>1634</v>
      </c>
      <c r="B65" s="5" t="s">
        <v>1635</v>
      </c>
      <c r="C65" s="5"/>
      <c r="D65" s="5"/>
      <c r="E65" s="5"/>
      <c r="F65" s="5"/>
      <c r="G65" s="5"/>
    </row>
    <row r="66" customFormat="false" ht="36" hidden="false" customHeight="true" outlineLevel="0" collapsed="false">
      <c r="A66" s="4" t="s">
        <v>1636</v>
      </c>
      <c r="B66" s="5" t="s">
        <v>1637</v>
      </c>
      <c r="C66" s="5"/>
      <c r="D66" s="5"/>
      <c r="E66" s="5"/>
      <c r="F66" s="5"/>
      <c r="G66" s="5"/>
    </row>
    <row r="67" customFormat="false" ht="21" hidden="false" customHeight="true" outlineLevel="0" collapsed="false">
      <c r="A67" s="4" t="s">
        <v>1638</v>
      </c>
      <c r="B67" s="5" t="s">
        <v>1639</v>
      </c>
      <c r="C67" s="5"/>
      <c r="D67" s="5"/>
      <c r="E67" s="5"/>
      <c r="F67" s="5"/>
      <c r="G67" s="5"/>
    </row>
    <row r="68" customFormat="false" ht="36" hidden="false" customHeight="true" outlineLevel="0" collapsed="false">
      <c r="A68" s="4" t="s">
        <v>1640</v>
      </c>
      <c r="B68" s="5" t="s">
        <v>1641</v>
      </c>
      <c r="C68" s="5"/>
      <c r="D68" s="5"/>
      <c r="E68" s="5"/>
      <c r="F68" s="5"/>
      <c r="G68" s="5"/>
    </row>
    <row r="70" customFormat="false" ht="21.75" hidden="false" customHeight="true" outlineLevel="0" collapsed="false">
      <c r="A70" s="3" t="s">
        <v>1642</v>
      </c>
      <c r="B70" s="3"/>
      <c r="C70" s="3"/>
      <c r="D70" s="3"/>
      <c r="E70" s="3"/>
      <c r="F70" s="3"/>
      <c r="G70" s="3"/>
    </row>
    <row r="71" customFormat="false" ht="21" hidden="false" customHeight="true" outlineLevel="0" collapsed="false">
      <c r="A71" s="4" t="s">
        <v>1643</v>
      </c>
      <c r="B71" s="5" t="s">
        <v>1644</v>
      </c>
      <c r="C71" s="5"/>
      <c r="D71" s="5"/>
      <c r="E71" s="5"/>
      <c r="F71" s="5"/>
      <c r="G71" s="5"/>
    </row>
    <row r="72" customFormat="false" ht="21" hidden="false" customHeight="true" outlineLevel="0" collapsed="false">
      <c r="A72" s="4" t="s">
        <v>1645</v>
      </c>
      <c r="B72" s="5" t="s">
        <v>1646</v>
      </c>
      <c r="C72" s="5"/>
      <c r="D72" s="5"/>
      <c r="E72" s="5"/>
      <c r="F72" s="5"/>
      <c r="G72" s="5"/>
    </row>
    <row r="73" customFormat="false" ht="36" hidden="false" customHeight="true" outlineLevel="0" collapsed="false">
      <c r="A73" s="4" t="s">
        <v>1647</v>
      </c>
      <c r="B73" s="5" t="s">
        <v>1648</v>
      </c>
      <c r="C73" s="5"/>
      <c r="D73" s="5"/>
      <c r="E73" s="5"/>
      <c r="F73" s="5"/>
      <c r="G73" s="5"/>
    </row>
    <row r="74" customFormat="false" ht="21" hidden="false" customHeight="true" outlineLevel="0" collapsed="false">
      <c r="A74" s="4" t="s">
        <v>1649</v>
      </c>
      <c r="B74" s="5" t="s">
        <v>1650</v>
      </c>
      <c r="C74" s="5"/>
      <c r="D74" s="5"/>
      <c r="E74" s="5"/>
      <c r="F74" s="5"/>
      <c r="G74" s="5"/>
    </row>
    <row r="75" customFormat="false" ht="21" hidden="false" customHeight="true" outlineLevel="0" collapsed="false">
      <c r="A75" s="4" t="s">
        <v>1651</v>
      </c>
      <c r="B75" s="5" t="s">
        <v>1652</v>
      </c>
      <c r="C75" s="5"/>
      <c r="D75" s="5"/>
      <c r="E75" s="5"/>
      <c r="F75" s="5"/>
      <c r="G75" s="5"/>
    </row>
    <row r="76" customFormat="false" ht="21" hidden="false" customHeight="true" outlineLevel="0" collapsed="false">
      <c r="A76" s="4" t="s">
        <v>1653</v>
      </c>
      <c r="B76" s="5" t="s">
        <v>1654</v>
      </c>
      <c r="C76" s="5"/>
      <c r="D76" s="5"/>
      <c r="E76" s="5"/>
      <c r="F76" s="5"/>
      <c r="G76" s="5"/>
    </row>
    <row r="77" customFormat="false" ht="21" hidden="false" customHeight="true" outlineLevel="0" collapsed="false">
      <c r="A77" s="4" t="s">
        <v>1655</v>
      </c>
      <c r="B77" s="5" t="s">
        <v>1656</v>
      </c>
      <c r="C77" s="5"/>
      <c r="D77" s="5"/>
      <c r="E77" s="5"/>
      <c r="F77" s="5"/>
      <c r="G77" s="5"/>
    </row>
  </sheetData>
  <mergeCells count="56">
    <mergeCell ref="A1:G2"/>
    <mergeCell ref="A3:G3"/>
    <mergeCell ref="A5:G5"/>
    <mergeCell ref="B6:G6"/>
    <mergeCell ref="B7:G7"/>
    <mergeCell ref="B8:G8"/>
    <mergeCell ref="B9:G9"/>
    <mergeCell ref="B10:G10"/>
    <mergeCell ref="B11:G11"/>
    <mergeCell ref="B12:G12"/>
    <mergeCell ref="B13:G13"/>
    <mergeCell ref="A15:G15"/>
    <mergeCell ref="A30:G30"/>
    <mergeCell ref="B31:G31"/>
    <mergeCell ref="B32:G32"/>
    <mergeCell ref="B33:G33"/>
    <mergeCell ref="B34:G34"/>
    <mergeCell ref="B35:G35"/>
    <mergeCell ref="B36:G36"/>
    <mergeCell ref="B37:G37"/>
    <mergeCell ref="B38:G38"/>
    <mergeCell ref="A40:G40"/>
    <mergeCell ref="B41:G41"/>
    <mergeCell ref="B42:G42"/>
    <mergeCell ref="B43:G43"/>
    <mergeCell ref="B44:G44"/>
    <mergeCell ref="B45:G45"/>
    <mergeCell ref="B46:G46"/>
    <mergeCell ref="B47:G47"/>
    <mergeCell ref="B48:G48"/>
    <mergeCell ref="A50:G50"/>
    <mergeCell ref="B51:G51"/>
    <mergeCell ref="B52:G52"/>
    <mergeCell ref="B53:G53"/>
    <mergeCell ref="B54:G54"/>
    <mergeCell ref="B55:G55"/>
    <mergeCell ref="B56:G56"/>
    <mergeCell ref="B57:G57"/>
    <mergeCell ref="B58:G58"/>
    <mergeCell ref="A60:G60"/>
    <mergeCell ref="B61:G61"/>
    <mergeCell ref="B62:G62"/>
    <mergeCell ref="B63:G63"/>
    <mergeCell ref="B64:G64"/>
    <mergeCell ref="B65:G65"/>
    <mergeCell ref="B66:G66"/>
    <mergeCell ref="B67:G67"/>
    <mergeCell ref="B68:G68"/>
    <mergeCell ref="A70:G70"/>
    <mergeCell ref="B71:G71"/>
    <mergeCell ref="B72:G72"/>
    <mergeCell ref="B73:G73"/>
    <mergeCell ref="B74:G74"/>
    <mergeCell ref="B75:G75"/>
    <mergeCell ref="B76:G76"/>
    <mergeCell ref="B77:G7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2026-10-16T14:48:55Z</dcterms:created>
  <dc:creator>openpyxl</dc:creator>
  <dc:description/>
  <dc:language>en-US</dc:language>
  <cp:lastModifiedBy/>
  <dcterms:modified xsi:type="dcterms:W3CDTF">2026-10-16T14:48:56Z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